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xploit\Documents\Portafolio - Personal\Personal\"/>
    </mc:Choice>
  </mc:AlternateContent>
  <xr:revisionPtr revIDLastSave="0" documentId="13_ncr:1_{F4E1A187-0FEC-4019-8BF0-B678FF91EDDF}" xr6:coauthVersionLast="47" xr6:coauthVersionMax="47" xr10:uidLastSave="{00000000-0000-0000-0000-000000000000}"/>
  <bookViews>
    <workbookView xWindow="-120" yWindow="-120" windowWidth="20730" windowHeight="11760" xr2:uid="{61F790E0-10AC-4AAF-A9F4-1A49667062CE}"/>
  </bookViews>
  <sheets>
    <sheet name="Hoja1" sheetId="1" r:id="rId1"/>
  </sheets>
  <definedNames>
    <definedName name="BDAY">Hoja1!$C$11</definedName>
    <definedName name="FDAY">#REF!</definedName>
    <definedName name="number_plazos">Hoja1!$C$10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9" i="1" s="1"/>
  <c r="E19" i="1"/>
  <c r="E9" i="1"/>
  <c r="C15" i="1"/>
  <c r="C13" i="1"/>
  <c r="C17" i="1"/>
  <c r="H18" i="1" l="1"/>
  <c r="A19" i="1" s="1"/>
  <c r="C19" i="1" l="1"/>
  <c r="B19" i="1"/>
  <c r="F19" i="1" l="1"/>
  <c r="G19" i="1" l="1"/>
  <c r="H19" i="1" l="1"/>
  <c r="A20" i="1" s="1"/>
  <c r="C20" i="1" s="1"/>
  <c r="B20" i="1" l="1"/>
  <c r="E20" i="1" s="1"/>
  <c r="F20" i="1" l="1"/>
  <c r="G20" i="1" l="1"/>
  <c r="H20" i="1" s="1"/>
  <c r="A21" i="1" s="1"/>
  <c r="C21" i="1" s="1"/>
  <c r="B21" i="1" l="1"/>
  <c r="F21" i="1" s="1"/>
  <c r="E21" i="1" l="1"/>
  <c r="G21" i="1" l="1"/>
  <c r="H21" i="1" s="1"/>
  <c r="A22" i="1" s="1"/>
  <c r="C22" i="1" s="1"/>
  <c r="B22" i="1" l="1"/>
  <c r="E22" i="1" s="1"/>
  <c r="F22" i="1"/>
  <c r="G22" i="1" s="1"/>
  <c r="H22" i="1" l="1"/>
  <c r="A23" i="1" s="1"/>
  <c r="B23" i="1" l="1"/>
  <c r="E23" i="1" s="1"/>
  <c r="C23" i="1"/>
  <c r="F23" i="1" l="1"/>
  <c r="G23" i="1" s="1"/>
  <c r="H23" i="1" s="1"/>
  <c r="A24" i="1" s="1"/>
  <c r="C24" i="1" l="1"/>
  <c r="B24" i="1"/>
  <c r="F24" i="1" s="1"/>
  <c r="E24" i="1" l="1"/>
  <c r="G24" i="1" s="1"/>
  <c r="H24" i="1" s="1"/>
  <c r="A25" i="1" s="1"/>
  <c r="C25" i="1" l="1"/>
  <c r="B25" i="1"/>
  <c r="F25" i="1" l="1"/>
  <c r="E25" i="1"/>
  <c r="G25" i="1" l="1"/>
  <c r="H25" i="1" s="1"/>
  <c r="A26" i="1" s="1"/>
  <c r="B26" i="1" l="1"/>
  <c r="F26" i="1" s="1"/>
  <c r="C26" i="1"/>
  <c r="E26" i="1" l="1"/>
  <c r="G26" i="1" s="1"/>
  <c r="H26" i="1" l="1"/>
  <c r="A27" i="1" s="1"/>
  <c r="B27" i="1" l="1"/>
  <c r="E27" i="1" s="1"/>
  <c r="C27" i="1"/>
  <c r="F27" i="1" l="1"/>
  <c r="G27" i="1" s="1"/>
  <c r="H27" i="1" s="1"/>
  <c r="A28" i="1" s="1"/>
  <c r="C28" i="1" l="1"/>
  <c r="B28" i="1"/>
  <c r="E28" i="1" l="1"/>
  <c r="F28" i="1"/>
  <c r="G28" i="1" l="1"/>
  <c r="H28" i="1" s="1"/>
  <c r="A29" i="1" s="1"/>
  <c r="B29" i="1" s="1"/>
  <c r="E29" i="1" s="1"/>
  <c r="C29" i="1" l="1"/>
  <c r="F29" i="1"/>
  <c r="G29" i="1" l="1"/>
  <c r="H29" i="1" s="1"/>
  <c r="A30" i="1" s="1"/>
  <c r="C30" i="1" l="1"/>
  <c r="B30" i="1"/>
  <c r="E30" i="1" l="1"/>
  <c r="F30" i="1"/>
  <c r="G30" i="1" s="1"/>
  <c r="H30" i="1" s="1"/>
  <c r="A31" i="1" s="1"/>
  <c r="C31" i="1" s="1"/>
  <c r="B31" i="1" l="1"/>
  <c r="E31" i="1" l="1"/>
  <c r="F31" i="1"/>
  <c r="G31" i="1" l="1"/>
  <c r="H31" i="1" s="1"/>
  <c r="A32" i="1" s="1"/>
  <c r="B32" i="1" s="1"/>
  <c r="F32" i="1" s="1"/>
  <c r="C32" i="1" l="1"/>
  <c r="E32" i="1"/>
  <c r="G32" i="1" l="1"/>
  <c r="H32" i="1" s="1"/>
  <c r="A33" i="1" s="1"/>
  <c r="C33" i="1" s="1"/>
  <c r="B33" i="1" l="1"/>
  <c r="E33" i="1" s="1"/>
  <c r="F33" i="1" l="1"/>
  <c r="G33" i="1" s="1"/>
  <c r="H33" i="1" s="1"/>
  <c r="A34" i="1" s="1"/>
  <c r="B34" i="1" l="1"/>
  <c r="F34" i="1" s="1"/>
  <c r="C34" i="1"/>
  <c r="E34" i="1" l="1"/>
  <c r="G34" i="1" s="1"/>
  <c r="H34" i="1" s="1"/>
  <c r="A35" i="1" s="1"/>
  <c r="B35" i="1" l="1"/>
  <c r="E35" i="1" s="1"/>
  <c r="C35" i="1"/>
  <c r="F35" i="1" l="1"/>
  <c r="G35" i="1" s="1"/>
  <c r="H35" i="1" l="1"/>
  <c r="A36" i="1" s="1"/>
  <c r="C36" i="1" l="1"/>
  <c r="B36" i="1"/>
  <c r="E36" i="1" s="1"/>
  <c r="F36" i="1" l="1"/>
  <c r="G36" i="1" s="1"/>
  <c r="H36" i="1" l="1"/>
  <c r="A37" i="1" s="1"/>
  <c r="C37" i="1" l="1"/>
  <c r="B37" i="1"/>
  <c r="F37" i="1" s="1"/>
  <c r="E37" i="1" l="1"/>
  <c r="G37" i="1" s="1"/>
  <c r="H37" i="1" l="1"/>
  <c r="A38" i="1" s="1"/>
  <c r="C38" i="1" l="1"/>
  <c r="B38" i="1"/>
  <c r="E38" i="1" s="1"/>
  <c r="F38" i="1" l="1"/>
  <c r="G38" i="1" s="1"/>
  <c r="H38" i="1" l="1"/>
  <c r="A39" i="1" s="1"/>
  <c r="C39" i="1" l="1"/>
  <c r="B39" i="1"/>
  <c r="F39" i="1" s="1"/>
  <c r="E39" i="1" l="1"/>
  <c r="G39" i="1" s="1"/>
  <c r="H39" i="1" l="1"/>
  <c r="A40" i="1" s="1"/>
  <c r="B40" i="1" l="1"/>
  <c r="E40" i="1" s="1"/>
  <c r="C40" i="1"/>
  <c r="F40" i="1" l="1"/>
  <c r="G40" i="1" s="1"/>
  <c r="H40" i="1" s="1"/>
  <c r="A41" i="1" s="1"/>
  <c r="C41" i="1" l="1"/>
  <c r="B41" i="1"/>
  <c r="E41" i="1" s="1"/>
  <c r="F41" i="1" l="1"/>
  <c r="G41" i="1" s="1"/>
  <c r="H41" i="1" l="1"/>
  <c r="A42" i="1" s="1"/>
  <c r="C42" i="1" l="1"/>
  <c r="B42" i="1"/>
  <c r="F42" i="1" s="1"/>
  <c r="E42" i="1" l="1"/>
  <c r="G42" i="1" s="1"/>
  <c r="H42" i="1" l="1"/>
  <c r="A43" i="1" s="1"/>
  <c r="C43" i="1" l="1"/>
  <c r="B43" i="1"/>
  <c r="E43" i="1" l="1"/>
  <c r="F43" i="1"/>
  <c r="G43" i="1" l="1"/>
  <c r="H43" i="1" s="1"/>
  <c r="A44" i="1" s="1"/>
  <c r="B44" i="1" l="1"/>
  <c r="E44" i="1" s="1"/>
  <c r="C44" i="1"/>
  <c r="F44" i="1" l="1"/>
  <c r="G44" i="1" s="1"/>
  <c r="H44" i="1" s="1"/>
  <c r="A45" i="1" s="1"/>
  <c r="B45" i="1" l="1"/>
  <c r="E45" i="1" s="1"/>
  <c r="C45" i="1"/>
  <c r="F45" i="1" l="1"/>
  <c r="G45" i="1" s="1"/>
  <c r="H45" i="1" s="1"/>
  <c r="A46" i="1" s="1"/>
  <c r="B46" i="1" l="1"/>
  <c r="E46" i="1" s="1"/>
  <c r="C46" i="1"/>
  <c r="F46" i="1" l="1"/>
  <c r="G46" i="1" s="1"/>
  <c r="H46" i="1" s="1"/>
  <c r="A47" i="1" s="1"/>
  <c r="B47" i="1" l="1"/>
  <c r="F47" i="1" s="1"/>
  <c r="C47" i="1"/>
  <c r="E47" i="1" l="1"/>
  <c r="G47" i="1" s="1"/>
  <c r="H47" i="1" l="1"/>
  <c r="A48" i="1" s="1"/>
  <c r="B48" i="1" l="1"/>
  <c r="F48" i="1" s="1"/>
  <c r="C48" i="1"/>
  <c r="E48" i="1" l="1"/>
  <c r="G48" i="1" s="1"/>
  <c r="H48" i="1" s="1"/>
  <c r="A49" i="1" s="1"/>
  <c r="B49" i="1" l="1"/>
  <c r="F49" i="1" s="1"/>
  <c r="C49" i="1"/>
  <c r="E49" i="1" l="1"/>
  <c r="G49" i="1" s="1"/>
  <c r="H49" i="1" l="1"/>
  <c r="A50" i="1" s="1"/>
  <c r="C50" i="1" l="1"/>
  <c r="B50" i="1"/>
  <c r="F50" i="1" s="1"/>
  <c r="E50" i="1" l="1"/>
  <c r="G50" i="1" s="1"/>
  <c r="H50" i="1" l="1"/>
  <c r="A51" i="1" s="1"/>
  <c r="C51" i="1" l="1"/>
  <c r="B51" i="1"/>
  <c r="E51" i="1" s="1"/>
  <c r="F51" i="1" l="1"/>
  <c r="G51" i="1" s="1"/>
  <c r="H51" i="1" l="1"/>
  <c r="A52" i="1" s="1"/>
  <c r="B52" i="1" l="1"/>
  <c r="F52" i="1" s="1"/>
  <c r="C52" i="1"/>
  <c r="E52" i="1" l="1"/>
  <c r="G52" i="1" s="1"/>
  <c r="H52" i="1" s="1"/>
  <c r="A53" i="1" s="1"/>
  <c r="C53" i="1" l="1"/>
  <c r="B53" i="1"/>
  <c r="F53" i="1" s="1"/>
  <c r="E53" i="1" l="1"/>
  <c r="G53" i="1" s="1"/>
  <c r="H53" i="1" l="1"/>
  <c r="A54" i="1" s="1"/>
  <c r="B54" i="1" l="1"/>
  <c r="F54" i="1" s="1"/>
  <c r="C54" i="1"/>
  <c r="E54" i="1" l="1"/>
  <c r="G54" i="1" s="1"/>
  <c r="H54" i="1" l="1"/>
  <c r="A55" i="1" s="1"/>
  <c r="C55" i="1" l="1"/>
  <c r="B55" i="1"/>
  <c r="E55" i="1" l="1"/>
  <c r="F55" i="1"/>
  <c r="G55" i="1" l="1"/>
  <c r="H55" i="1" s="1"/>
  <c r="A56" i="1" s="1"/>
  <c r="B56" i="1" l="1"/>
  <c r="E56" i="1" s="1"/>
  <c r="C56" i="1"/>
  <c r="F56" i="1" l="1"/>
  <c r="G56" i="1" s="1"/>
  <c r="H56" i="1" s="1"/>
  <c r="A57" i="1" s="1"/>
  <c r="B57" i="1" s="1"/>
  <c r="F57" i="1" s="1"/>
  <c r="C57" i="1" l="1"/>
  <c r="E57" i="1"/>
  <c r="G57" i="1" l="1"/>
  <c r="H57" i="1" s="1"/>
  <c r="A58" i="1" s="1"/>
  <c r="C58" i="1" l="1"/>
  <c r="B58" i="1"/>
  <c r="E58" i="1" s="1"/>
  <c r="F58" i="1" l="1"/>
  <c r="G58" i="1" s="1"/>
  <c r="H58" i="1" s="1"/>
  <c r="A59" i="1" s="1"/>
  <c r="C59" i="1" s="1"/>
  <c r="B59" i="1" l="1"/>
  <c r="F59" i="1" s="1"/>
  <c r="E59" i="1" l="1"/>
  <c r="G59" i="1" s="1"/>
  <c r="H59" i="1" s="1"/>
  <c r="A60" i="1" s="1"/>
  <c r="C60" i="1" l="1"/>
  <c r="B60" i="1"/>
  <c r="F60" i="1" s="1"/>
  <c r="E60" i="1" l="1"/>
  <c r="G60" i="1" s="1"/>
  <c r="H60" i="1" l="1"/>
  <c r="A61" i="1" s="1"/>
  <c r="B61" i="1" l="1"/>
  <c r="F61" i="1" s="1"/>
  <c r="C61" i="1"/>
  <c r="E61" i="1" l="1"/>
  <c r="G61" i="1" s="1"/>
  <c r="H61" i="1" l="1"/>
  <c r="A62" i="1" s="1"/>
  <c r="B62" i="1" l="1"/>
  <c r="E62" i="1" s="1"/>
  <c r="C62" i="1"/>
  <c r="F62" i="1" l="1"/>
  <c r="G62" i="1"/>
  <c r="H62" i="1" s="1"/>
  <c r="A63" i="1" s="1"/>
  <c r="B63" i="1" l="1"/>
  <c r="E63" i="1" s="1"/>
  <c r="C63" i="1"/>
  <c r="F63" i="1" l="1"/>
  <c r="G63" i="1" s="1"/>
  <c r="H63" i="1" s="1"/>
  <c r="A64" i="1" s="1"/>
  <c r="B64" i="1" l="1"/>
  <c r="E64" i="1" s="1"/>
  <c r="C64" i="1"/>
  <c r="F64" i="1" l="1"/>
  <c r="G64" i="1" s="1"/>
  <c r="H64" i="1" s="1"/>
  <c r="A65" i="1" s="1"/>
  <c r="C65" i="1" l="1"/>
  <c r="B65" i="1"/>
  <c r="F65" i="1" s="1"/>
  <c r="E65" i="1" l="1"/>
  <c r="G65" i="1" l="1"/>
  <c r="H65" i="1" s="1"/>
  <c r="A66" i="1" s="1"/>
  <c r="C66" i="1" l="1"/>
  <c r="B66" i="1"/>
  <c r="F66" i="1" s="1"/>
  <c r="E66" i="1" l="1"/>
  <c r="G66" i="1" l="1"/>
  <c r="H66" i="1" s="1"/>
  <c r="A67" i="1" s="1"/>
  <c r="B67" i="1" l="1"/>
  <c r="F67" i="1" s="1"/>
  <c r="C67" i="1"/>
  <c r="E67" i="1" l="1"/>
  <c r="G67" i="1" s="1"/>
  <c r="H67" i="1" s="1"/>
  <c r="A68" i="1" s="1"/>
  <c r="C68" i="1" l="1"/>
  <c r="B68" i="1"/>
  <c r="F68" i="1" s="1"/>
  <c r="E68" i="1" l="1"/>
  <c r="G68" i="1" l="1"/>
  <c r="H68" i="1" s="1"/>
  <c r="A69" i="1" s="1"/>
  <c r="C69" i="1" l="1"/>
  <c r="B69" i="1"/>
  <c r="E69" i="1" s="1"/>
  <c r="F69" i="1" l="1"/>
  <c r="G69" i="1" s="1"/>
  <c r="H69" i="1" s="1"/>
  <c r="A70" i="1" s="1"/>
  <c r="C70" i="1" l="1"/>
  <c r="B70" i="1"/>
  <c r="F70" i="1" s="1"/>
  <c r="E70" i="1" l="1"/>
  <c r="G70" i="1" s="1"/>
  <c r="H70" i="1" l="1"/>
  <c r="A71" i="1" s="1"/>
  <c r="C71" i="1" l="1"/>
  <c r="B71" i="1"/>
  <c r="F71" i="1" s="1"/>
  <c r="E71" i="1" l="1"/>
  <c r="G71" i="1" l="1"/>
  <c r="H71" i="1" s="1"/>
  <c r="A72" i="1" s="1"/>
  <c r="C72" i="1" l="1"/>
  <c r="B72" i="1"/>
  <c r="E72" i="1" s="1"/>
  <c r="F72" i="1" l="1"/>
  <c r="G72" i="1" s="1"/>
  <c r="H72" i="1" l="1"/>
  <c r="A73" i="1" s="1"/>
  <c r="B73" i="1" s="1"/>
  <c r="F73" i="1" s="1"/>
  <c r="C73" i="1" l="1"/>
  <c r="E73" i="1"/>
  <c r="G73" i="1" l="1"/>
  <c r="H73" i="1"/>
  <c r="A74" i="1" s="1"/>
  <c r="B74" i="1" l="1"/>
  <c r="C74" i="1"/>
  <c r="E74" i="1" l="1"/>
  <c r="F74" i="1"/>
  <c r="G74" i="1" l="1"/>
  <c r="H74" i="1" s="1"/>
  <c r="A75" i="1" s="1"/>
  <c r="C75" i="1" l="1"/>
  <c r="B75" i="1"/>
  <c r="E75" i="1" s="1"/>
  <c r="F75" i="1" l="1"/>
  <c r="G75" i="1" s="1"/>
  <c r="H75" i="1" s="1"/>
  <c r="A76" i="1" s="1"/>
  <c r="C76" i="1" l="1"/>
  <c r="B76" i="1"/>
  <c r="F76" i="1" s="1"/>
  <c r="E76" i="1" l="1"/>
  <c r="G76" i="1" s="1"/>
  <c r="H76" i="1" l="1"/>
  <c r="A77" i="1" s="1"/>
  <c r="B77" i="1" l="1"/>
  <c r="F77" i="1" s="1"/>
  <c r="C77" i="1"/>
  <c r="E77" i="1" l="1"/>
  <c r="G77" i="1" l="1"/>
  <c r="H77" i="1" s="1"/>
  <c r="A78" i="1" s="1"/>
  <c r="C78" i="1" l="1"/>
  <c r="B78" i="1"/>
  <c r="F78" i="1" s="1"/>
  <c r="E78" i="1" l="1"/>
  <c r="G78" i="1" s="1"/>
  <c r="H78" i="1" l="1"/>
  <c r="A79" i="1" s="1"/>
  <c r="B79" i="1" l="1"/>
  <c r="E79" i="1" s="1"/>
  <c r="C79" i="1"/>
  <c r="F79" i="1" l="1"/>
  <c r="G79" i="1" s="1"/>
  <c r="H79" i="1" s="1"/>
  <c r="A80" i="1" s="1"/>
  <c r="C80" i="1" l="1"/>
  <c r="B80" i="1"/>
  <c r="F80" i="1" s="1"/>
  <c r="E80" i="1" l="1"/>
  <c r="G80" i="1"/>
  <c r="H80" i="1" s="1"/>
  <c r="A81" i="1" s="1"/>
  <c r="C81" i="1" l="1"/>
  <c r="B81" i="1"/>
  <c r="F81" i="1" s="1"/>
  <c r="E81" i="1" l="1"/>
  <c r="G81" i="1" l="1"/>
  <c r="H81" i="1" s="1"/>
  <c r="A82" i="1" s="1"/>
  <c r="B82" i="1" l="1"/>
  <c r="E82" i="1" s="1"/>
  <c r="C82" i="1"/>
  <c r="G82" i="1" l="1"/>
  <c r="H82" i="1" s="1"/>
  <c r="A83" i="1" s="1"/>
  <c r="F82" i="1"/>
  <c r="C83" i="1" l="1"/>
  <c r="B83" i="1"/>
  <c r="F83" i="1" s="1"/>
  <c r="E83" i="1" l="1"/>
  <c r="G83" i="1"/>
  <c r="H83" i="1" l="1"/>
  <c r="A84" i="1" s="1"/>
  <c r="C84" i="1" l="1"/>
  <c r="B84" i="1"/>
  <c r="E84" i="1" s="1"/>
  <c r="F84" i="1" l="1"/>
  <c r="G84" i="1"/>
  <c r="H84" i="1" s="1"/>
  <c r="A85" i="1" s="1"/>
  <c r="C85" i="1" l="1"/>
  <c r="B85" i="1"/>
  <c r="F85" i="1" s="1"/>
  <c r="E85" i="1" l="1"/>
  <c r="G85" i="1" s="1"/>
  <c r="H85" i="1" s="1"/>
  <c r="A86" i="1" s="1"/>
  <c r="C86" i="1" l="1"/>
  <c r="B86" i="1"/>
  <c r="F86" i="1" s="1"/>
  <c r="G86" i="1" l="1"/>
  <c r="H86" i="1" s="1"/>
  <c r="A87" i="1" s="1"/>
  <c r="E86" i="1"/>
  <c r="B87" i="1" l="1"/>
  <c r="E87" i="1" s="1"/>
  <c r="C87" i="1"/>
  <c r="F87" i="1" l="1"/>
  <c r="G87" i="1" s="1"/>
  <c r="H87" i="1" l="1"/>
  <c r="A88" i="1" s="1"/>
  <c r="B88" i="1" l="1"/>
  <c r="E88" i="1" s="1"/>
  <c r="C88" i="1"/>
  <c r="G88" i="1" l="1"/>
  <c r="H88" i="1" s="1"/>
  <c r="A89" i="1" s="1"/>
  <c r="F88" i="1"/>
  <c r="B89" i="1" l="1"/>
  <c r="E89" i="1" s="1"/>
  <c r="C89" i="1"/>
  <c r="F89" i="1" l="1"/>
  <c r="G89" i="1"/>
  <c r="H89" i="1" l="1"/>
  <c r="A90" i="1" s="1"/>
  <c r="B90" i="1" l="1"/>
  <c r="E90" i="1" s="1"/>
  <c r="C90" i="1"/>
  <c r="F90" i="1" l="1"/>
  <c r="G90" i="1"/>
  <c r="H90" i="1" s="1"/>
  <c r="A91" i="1" s="1"/>
  <c r="B91" i="1" l="1"/>
  <c r="F91" i="1" s="1"/>
  <c r="C91" i="1"/>
  <c r="E91" i="1" l="1"/>
  <c r="G91" i="1"/>
  <c r="H91" i="1" l="1"/>
  <c r="A92" i="1" s="1"/>
  <c r="B92" i="1" l="1"/>
  <c r="F92" i="1" s="1"/>
  <c r="C92" i="1"/>
  <c r="E92" i="1" l="1"/>
  <c r="G92" i="1"/>
  <c r="H92" i="1" s="1"/>
  <c r="A93" i="1" s="1"/>
  <c r="C93" i="1" l="1"/>
  <c r="B93" i="1"/>
  <c r="F93" i="1" s="1"/>
  <c r="E93" i="1" l="1"/>
  <c r="G93" i="1"/>
  <c r="H93" i="1" l="1"/>
  <c r="A94" i="1" s="1"/>
  <c r="B94" i="1" l="1"/>
  <c r="F94" i="1" s="1"/>
  <c r="C94" i="1"/>
  <c r="E94" i="1" l="1"/>
  <c r="G94" i="1"/>
  <c r="H94" i="1" s="1"/>
  <c r="A95" i="1" s="1"/>
  <c r="C95" i="1" l="1"/>
  <c r="B95" i="1"/>
  <c r="E95" i="1" s="1"/>
  <c r="F95" i="1" l="1"/>
  <c r="G95" i="1"/>
  <c r="H95" i="1" l="1"/>
  <c r="A96" i="1" s="1"/>
  <c r="C96" i="1" l="1"/>
  <c r="B96" i="1"/>
  <c r="E96" i="1" s="1"/>
  <c r="F96" i="1" l="1"/>
  <c r="G96" i="1"/>
  <c r="H96" i="1" s="1"/>
  <c r="A97" i="1" s="1"/>
  <c r="C97" i="1" l="1"/>
  <c r="B97" i="1"/>
  <c r="F97" i="1" s="1"/>
  <c r="E97" i="1" l="1"/>
  <c r="G97" i="1"/>
  <c r="H97" i="1" s="1"/>
  <c r="A98" i="1" s="1"/>
  <c r="C98" i="1" l="1"/>
  <c r="B98" i="1"/>
  <c r="F98" i="1" s="1"/>
  <c r="E98" i="1" l="1"/>
  <c r="G98" i="1"/>
  <c r="H98" i="1" s="1"/>
  <c r="A99" i="1" s="1"/>
  <c r="B99" i="1" l="1"/>
  <c r="F99" i="1" s="1"/>
  <c r="C99" i="1"/>
  <c r="E99" i="1" l="1"/>
  <c r="G99" i="1" l="1"/>
  <c r="H99" i="1" s="1"/>
  <c r="A100" i="1" s="1"/>
  <c r="C100" i="1" l="1"/>
  <c r="B100" i="1"/>
  <c r="F100" i="1" l="1"/>
  <c r="E100" i="1"/>
  <c r="G100" i="1"/>
  <c r="H100" i="1" s="1"/>
  <c r="A101" i="1" s="1"/>
  <c r="B101" i="1" l="1"/>
  <c r="E101" i="1" s="1"/>
  <c r="C101" i="1"/>
  <c r="F101" i="1" l="1"/>
  <c r="G101" i="1" s="1"/>
  <c r="H101" i="1" s="1"/>
  <c r="A102" i="1" s="1"/>
  <c r="C102" i="1" l="1"/>
  <c r="B102" i="1"/>
  <c r="F102" i="1" s="1"/>
  <c r="E102" i="1" l="1"/>
  <c r="G102" i="1"/>
  <c r="H102" i="1" s="1"/>
  <c r="A103" i="1" s="1"/>
  <c r="B103" i="1" l="1"/>
  <c r="F103" i="1" s="1"/>
  <c r="C103" i="1"/>
  <c r="E103" i="1" l="1"/>
  <c r="G103" i="1"/>
  <c r="H103" i="1" l="1"/>
  <c r="A104" i="1" s="1"/>
  <c r="C104" i="1" l="1"/>
  <c r="B104" i="1"/>
  <c r="F104" i="1" s="1"/>
  <c r="E104" i="1" l="1"/>
  <c r="G104" i="1"/>
  <c r="H104" i="1" s="1"/>
  <c r="A105" i="1" s="1"/>
  <c r="C105" i="1" l="1"/>
  <c r="B105" i="1"/>
  <c r="E105" i="1" s="1"/>
  <c r="F105" i="1" l="1"/>
  <c r="G105" i="1"/>
  <c r="H105" i="1" l="1"/>
  <c r="A106" i="1" s="1"/>
  <c r="C106" i="1" l="1"/>
  <c r="B106" i="1"/>
  <c r="F106" i="1" s="1"/>
  <c r="E106" i="1" l="1"/>
  <c r="G106" i="1"/>
  <c r="H106" i="1" s="1"/>
  <c r="A107" i="1" s="1"/>
  <c r="C107" i="1" l="1"/>
  <c r="B107" i="1"/>
  <c r="F107" i="1" s="1"/>
  <c r="E107" i="1" l="1"/>
  <c r="G107" i="1"/>
  <c r="H107" i="1" s="1"/>
  <c r="A108" i="1" s="1"/>
  <c r="C108" i="1" l="1"/>
  <c r="B108" i="1"/>
  <c r="F108" i="1" s="1"/>
  <c r="E108" i="1" l="1"/>
  <c r="G108" i="1"/>
  <c r="H108" i="1" s="1"/>
  <c r="A109" i="1" s="1"/>
  <c r="C109" i="1" l="1"/>
  <c r="B109" i="1"/>
  <c r="E109" i="1" s="1"/>
  <c r="F109" i="1" l="1"/>
  <c r="G109" i="1" s="1"/>
  <c r="H109" i="1" l="1"/>
  <c r="A110" i="1" s="1"/>
  <c r="C110" i="1" l="1"/>
  <c r="B110" i="1"/>
  <c r="F110" i="1" s="1"/>
  <c r="E110" i="1" l="1"/>
  <c r="G110" i="1"/>
  <c r="H110" i="1" s="1"/>
  <c r="A111" i="1" s="1"/>
  <c r="C111" i="1" l="1"/>
  <c r="B111" i="1"/>
  <c r="F111" i="1" s="1"/>
  <c r="E111" i="1" l="1"/>
  <c r="G111" i="1"/>
  <c r="H111" i="1" s="1"/>
  <c r="A112" i="1" s="1"/>
  <c r="B112" i="1" l="1"/>
  <c r="C112" i="1"/>
  <c r="G112" i="1" l="1"/>
  <c r="H112" i="1" s="1"/>
  <c r="A113" i="1" s="1"/>
  <c r="B113" i="1" s="1"/>
  <c r="F113" i="1" s="1"/>
  <c r="E112" i="1"/>
  <c r="F112" i="1"/>
  <c r="C113" i="1" l="1"/>
  <c r="E113" i="1"/>
  <c r="G113" i="1" s="1"/>
  <c r="H113" i="1" s="1"/>
  <c r="A114" i="1" s="1"/>
  <c r="B114" i="1" l="1"/>
  <c r="F114" i="1" s="1"/>
  <c r="C114" i="1"/>
  <c r="E114" i="1" l="1"/>
  <c r="G114" i="1"/>
  <c r="H114" i="1" s="1"/>
  <c r="A115" i="1" s="1"/>
  <c r="B115" i="1" l="1"/>
  <c r="E115" i="1" s="1"/>
  <c r="C115" i="1"/>
  <c r="F115" i="1" l="1"/>
  <c r="G115" i="1"/>
  <c r="H115" i="1" s="1"/>
  <c r="A116" i="1" s="1"/>
  <c r="C116" i="1" l="1"/>
  <c r="B116" i="1"/>
  <c r="E116" i="1" s="1"/>
  <c r="G116" i="1" l="1"/>
  <c r="H116" i="1" s="1"/>
  <c r="A117" i="1" s="1"/>
  <c r="F116" i="1"/>
  <c r="C117" i="1" l="1"/>
  <c r="B117" i="1"/>
  <c r="E117" i="1" s="1"/>
  <c r="F117" i="1" l="1"/>
  <c r="G117" i="1" l="1"/>
  <c r="H117" i="1" s="1"/>
  <c r="A118" i="1" s="1"/>
  <c r="C118" i="1" l="1"/>
  <c r="B118" i="1"/>
  <c r="F118" i="1" s="1"/>
  <c r="G118" i="1" l="1"/>
  <c r="H118" i="1" s="1"/>
  <c r="A119" i="1" s="1"/>
  <c r="E118" i="1"/>
  <c r="C119" i="1" l="1"/>
  <c r="B119" i="1"/>
  <c r="F119" i="1" s="1"/>
  <c r="E119" i="1" l="1"/>
  <c r="G119" i="1" s="1"/>
  <c r="H119" i="1" s="1"/>
  <c r="A120" i="1" s="1"/>
  <c r="C120" i="1" l="1"/>
  <c r="B120" i="1"/>
  <c r="F120" i="1" s="1"/>
  <c r="E120" i="1" l="1"/>
  <c r="G120" i="1"/>
  <c r="H120" i="1" s="1"/>
  <c r="A121" i="1" s="1"/>
  <c r="C121" i="1" l="1"/>
  <c r="B121" i="1"/>
  <c r="E121" i="1" s="1"/>
  <c r="F121" i="1" l="1"/>
  <c r="G121" i="1"/>
  <c r="H121" i="1" l="1"/>
  <c r="A122" i="1" s="1"/>
  <c r="B122" i="1" l="1"/>
  <c r="E122" i="1" s="1"/>
  <c r="C122" i="1"/>
  <c r="F122" i="1" l="1"/>
  <c r="G122" i="1"/>
  <c r="H122" i="1" s="1"/>
  <c r="A123" i="1" s="1"/>
  <c r="B123" i="1" l="1"/>
  <c r="E123" i="1" s="1"/>
  <c r="C123" i="1"/>
  <c r="F123" i="1" l="1"/>
  <c r="G123" i="1"/>
  <c r="H123" i="1" s="1"/>
  <c r="A124" i="1" s="1"/>
  <c r="C124" i="1" l="1"/>
  <c r="B124" i="1"/>
  <c r="F124" i="1" s="1"/>
  <c r="E124" i="1" l="1"/>
  <c r="G124" i="1"/>
  <c r="H124" i="1" s="1"/>
  <c r="A125" i="1" s="1"/>
  <c r="B125" i="1" l="1"/>
  <c r="F125" i="1" s="1"/>
  <c r="C125" i="1"/>
  <c r="E125" i="1" l="1"/>
  <c r="G125" i="1" s="1"/>
  <c r="H125" i="1" s="1"/>
  <c r="A126" i="1" s="1"/>
  <c r="C126" i="1" l="1"/>
  <c r="B126" i="1"/>
  <c r="E126" i="1" l="1"/>
  <c r="F126" i="1"/>
  <c r="G126" i="1"/>
  <c r="H126" i="1" s="1"/>
  <c r="A127" i="1" s="1"/>
  <c r="B127" i="1" l="1"/>
  <c r="C127" i="1"/>
  <c r="E127" i="1" l="1"/>
  <c r="F127" i="1"/>
  <c r="G127" i="1" l="1"/>
  <c r="H127" i="1" s="1"/>
  <c r="A128" i="1" s="1"/>
  <c r="C128" i="1" l="1"/>
  <c r="B128" i="1"/>
  <c r="F128" i="1" s="1"/>
  <c r="E128" i="1" l="1"/>
  <c r="G128" i="1"/>
  <c r="H128" i="1" s="1"/>
  <c r="A129" i="1" s="1"/>
  <c r="C129" i="1" l="1"/>
  <c r="B129" i="1"/>
  <c r="F129" i="1" l="1"/>
  <c r="E129" i="1"/>
  <c r="G129" i="1" s="1"/>
  <c r="H129" i="1" s="1"/>
  <c r="A130" i="1" s="1"/>
  <c r="C130" i="1" l="1"/>
  <c r="B130" i="1"/>
  <c r="E130" i="1" s="1"/>
  <c r="F130" i="1" l="1"/>
  <c r="G130" i="1"/>
  <c r="H130" i="1" s="1"/>
  <c r="A131" i="1" s="1"/>
  <c r="B131" i="1" l="1"/>
  <c r="F131" i="1" s="1"/>
  <c r="C131" i="1"/>
  <c r="E131" i="1" l="1"/>
  <c r="G131" i="1"/>
  <c r="H131" i="1" l="1"/>
  <c r="A132" i="1" s="1"/>
  <c r="C132" i="1" l="1"/>
  <c r="B132" i="1"/>
  <c r="E132" i="1" s="1"/>
  <c r="F132" i="1" l="1"/>
  <c r="G132" i="1"/>
  <c r="H132" i="1" s="1"/>
  <c r="A133" i="1" s="1"/>
  <c r="C133" i="1" l="1"/>
  <c r="B133" i="1"/>
  <c r="F133" i="1" s="1"/>
  <c r="E133" i="1" l="1"/>
  <c r="G133" i="1" s="1"/>
  <c r="H133" i="1" s="1"/>
  <c r="A134" i="1" s="1"/>
  <c r="C134" i="1" l="1"/>
  <c r="B134" i="1"/>
  <c r="E134" i="1" s="1"/>
  <c r="F134" i="1" l="1"/>
  <c r="G134" i="1"/>
  <c r="H134" i="1" s="1"/>
  <c r="A135" i="1" s="1"/>
  <c r="B135" i="1" l="1"/>
  <c r="E135" i="1" s="1"/>
  <c r="C135" i="1"/>
  <c r="F135" i="1"/>
  <c r="G135" i="1" l="1"/>
  <c r="H135" i="1" s="1"/>
  <c r="A136" i="1" s="1"/>
  <c r="C136" i="1" l="1"/>
  <c r="B136" i="1"/>
  <c r="G136" i="1" l="1"/>
  <c r="H136" i="1" s="1"/>
  <c r="A137" i="1" s="1"/>
  <c r="E136" i="1"/>
  <c r="F136" i="1"/>
  <c r="B137" i="1" l="1"/>
  <c r="E137" i="1" s="1"/>
  <c r="C137" i="1"/>
  <c r="F137" i="1" l="1"/>
  <c r="G137" i="1"/>
  <c r="H137" i="1" s="1"/>
  <c r="A138" i="1" s="1"/>
  <c r="C138" i="1" l="1"/>
  <c r="B138" i="1"/>
  <c r="E138" i="1" s="1"/>
  <c r="F138" i="1" l="1"/>
  <c r="G138" i="1"/>
  <c r="H138" i="1" s="1"/>
  <c r="A139" i="1" s="1"/>
  <c r="C139" i="1" l="1"/>
  <c r="G139" i="1"/>
  <c r="H139" i="1"/>
  <c r="A140" i="1" s="1"/>
  <c r="B139" i="1"/>
  <c r="E139" i="1" s="1"/>
  <c r="F139" i="1"/>
  <c r="H140" i="1" l="1"/>
  <c r="A141" i="1" s="1"/>
  <c r="F140" i="1"/>
  <c r="G140" i="1"/>
  <c r="B140" i="1"/>
  <c r="E140" i="1" s="1"/>
  <c r="C140" i="1"/>
  <c r="C141" i="1" l="1"/>
  <c r="G141" i="1"/>
  <c r="H141" i="1"/>
  <c r="A142" i="1" s="1"/>
  <c r="F141" i="1"/>
  <c r="B141" i="1"/>
  <c r="E141" i="1" s="1"/>
  <c r="H142" i="1" l="1"/>
  <c r="A143" i="1" s="1"/>
  <c r="F142" i="1"/>
  <c r="G142" i="1"/>
  <c r="B142" i="1"/>
  <c r="E142" i="1" s="1"/>
  <c r="C142" i="1"/>
  <c r="F143" i="1" l="1"/>
  <c r="H143" i="1"/>
  <c r="A144" i="1" s="1"/>
  <c r="G143" i="1"/>
  <c r="B143" i="1"/>
  <c r="E143" i="1" s="1"/>
  <c r="C143" i="1"/>
  <c r="G144" i="1" l="1"/>
  <c r="B144" i="1"/>
  <c r="E144" i="1" s="1"/>
  <c r="F144" i="1"/>
  <c r="C144" i="1"/>
  <c r="H144" i="1"/>
  <c r="A145" i="1" s="1"/>
  <c r="B145" i="1" l="1"/>
  <c r="F145" i="1" s="1"/>
  <c r="G145" i="1"/>
  <c r="C145" i="1"/>
  <c r="E145" i="1"/>
  <c r="H145" i="1"/>
  <c r="A146" i="1" s="1"/>
  <c r="H146" i="1" l="1"/>
  <c r="A147" i="1" s="1"/>
  <c r="G146" i="1"/>
  <c r="F146" i="1"/>
  <c r="B146" i="1"/>
  <c r="E146" i="1" s="1"/>
  <c r="C146" i="1"/>
  <c r="B147" i="1" l="1"/>
  <c r="G147" i="1"/>
  <c r="H147" i="1"/>
  <c r="A148" i="1" s="1"/>
  <c r="E147" i="1"/>
  <c r="C147" i="1"/>
  <c r="F147" i="1"/>
  <c r="E148" i="1" l="1"/>
  <c r="G148" i="1"/>
  <c r="B148" i="1"/>
  <c r="H148" i="1" s="1"/>
  <c r="A149" i="1" s="1"/>
  <c r="C148" i="1"/>
  <c r="F148" i="1"/>
  <c r="B149" i="1" l="1"/>
  <c r="H149" i="1" s="1"/>
  <c r="A150" i="1" s="1"/>
  <c r="G149" i="1"/>
  <c r="C149" i="1"/>
  <c r="F149" i="1"/>
  <c r="E149" i="1"/>
  <c r="C150" i="1" l="1"/>
  <c r="G150" i="1"/>
  <c r="H150" i="1"/>
  <c r="A151" i="1" s="1"/>
  <c r="B150" i="1"/>
  <c r="F150" i="1" s="1"/>
  <c r="E150" i="1"/>
  <c r="C151" i="1" l="1"/>
  <c r="E151" i="1"/>
  <c r="G151" i="1"/>
  <c r="F151" i="1"/>
  <c r="H151" i="1"/>
  <c r="A152" i="1" s="1"/>
  <c r="B151" i="1"/>
  <c r="C152" i="1" l="1"/>
  <c r="G152" i="1"/>
  <c r="F152" i="1"/>
  <c r="H12" i="1" s="1"/>
  <c r="B152" i="1"/>
  <c r="E152" i="1" s="1"/>
  <c r="H152" i="1"/>
  <c r="G12" i="1" l="1"/>
  <c r="G13" i="1" s="1"/>
  <c r="H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3xploit</author>
  </authors>
  <commentList>
    <comment ref="F8" authorId="0" shapeId="0" xr:uid="{11AB67B2-956A-4DB4-92FA-7B926A24266C}">
      <text>
        <r>
          <rPr>
            <b/>
            <sz val="9"/>
            <color indexed="81"/>
            <rFont val="Tahoma"/>
            <family val="2"/>
          </rPr>
          <t>Este letra depende del banco</t>
        </r>
      </text>
    </comment>
    <comment ref="E17" authorId="0" shapeId="0" xr:uid="{F9285151-051A-4281-BF8B-0B74EC9BC831}">
      <text>
        <r>
          <rPr>
            <b/>
            <sz val="9"/>
            <color indexed="81"/>
            <rFont val="Tahoma"/>
            <family val="2"/>
          </rPr>
          <t>3xploit:</t>
        </r>
        <r>
          <rPr>
            <sz val="9"/>
            <color indexed="81"/>
            <rFont val="Tahoma"/>
            <family val="2"/>
          </rPr>
          <t xml:space="preserve">
Los intereses generados van a hacer los primeros dias de cada mes.</t>
        </r>
      </text>
    </comment>
  </commentList>
</comments>
</file>

<file path=xl/sharedStrings.xml><?xml version="1.0" encoding="utf-8"?>
<sst xmlns="http://schemas.openxmlformats.org/spreadsheetml/2006/main" count="24" uniqueCount="24">
  <si>
    <t>Monto Inicial</t>
  </si>
  <si>
    <t>Tasa Interés</t>
  </si>
  <si>
    <t>N° Plazos (Años)</t>
  </si>
  <si>
    <t>Fecha de primer Pago</t>
  </si>
  <si>
    <t>Forma de Pago</t>
  </si>
  <si>
    <t>Información de préstamo</t>
  </si>
  <si>
    <t>Plazos Efectivos</t>
  </si>
  <si>
    <t>Mensual</t>
  </si>
  <si>
    <t>N° de pagos</t>
  </si>
  <si>
    <t xml:space="preserve"> Fecha</t>
  </si>
  <si>
    <t>Capital</t>
  </si>
  <si>
    <t>Seguro</t>
  </si>
  <si>
    <t>Saldo Actual</t>
  </si>
  <si>
    <t>Calculo de Cuota</t>
  </si>
  <si>
    <t>Letra Seguro (Anual)</t>
  </si>
  <si>
    <t>Tabla de Amortización de deuda (Préstamos) - Metodo Fránces</t>
  </si>
  <si>
    <t>Cálculos</t>
  </si>
  <si>
    <t>Totales</t>
  </si>
  <si>
    <t>Interes Pagados</t>
  </si>
  <si>
    <t>Period_numer</t>
  </si>
  <si>
    <t>Pago Extraordinario</t>
  </si>
  <si>
    <t>Interes Generado</t>
  </si>
  <si>
    <t>Monto Total</t>
  </si>
  <si>
    <t>Letra Total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</si>
</sst>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B/.&quot;#,##0.00;[Red]\-&quot;B/.&quot;#,##0.00"/>
    <numFmt numFmtId="44" formatCode="_-&quot;B/.&quot;* #,##0.00_-;\-&quot;B/.&quot;* #,##0.00_-;_-&quot;B/.&quot;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1" fontId="0" fillId="0" borderId="0" xfId="0" applyNumberFormat="1"/>
    <xf numFmtId="8" fontId="0" fillId="0" borderId="0" xfId="0" applyNumberFormat="1"/>
    <xf numFmtId="44" fontId="0" fillId="0" borderId="0" xfId="1" applyFont="1" applyAlignment="1">
      <alignment horizontal="center"/>
    </xf>
    <xf numFmtId="1" fontId="0" fillId="0" borderId="0" xfId="1" applyNumberFormat="1" applyFont="1" applyAlignment="1">
      <alignment horizontal="center"/>
    </xf>
    <xf numFmtId="14" fontId="0" fillId="0" borderId="0" xfId="1" applyNumberFormat="1" applyFont="1" applyAlignment="1">
      <alignment horizontal="center"/>
    </xf>
    <xf numFmtId="8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9" fontId="0" fillId="0" borderId="4" xfId="0" applyNumberFormat="1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10" xfId="0" applyBorder="1"/>
    <xf numFmtId="9" fontId="0" fillId="0" borderId="11" xfId="0" applyNumberFormat="1" applyBorder="1"/>
    <xf numFmtId="14" fontId="0" fillId="0" borderId="9" xfId="0" applyNumberFormat="1" applyBorder="1"/>
    <xf numFmtId="0" fontId="0" fillId="0" borderId="11" xfId="0" applyBorder="1"/>
    <xf numFmtId="8" fontId="0" fillId="0" borderId="4" xfId="0" applyNumberFormat="1" applyBorder="1"/>
    <xf numFmtId="44" fontId="0" fillId="0" borderId="4" xfId="1" applyFont="1" applyBorder="1"/>
    <xf numFmtId="8" fontId="0" fillId="0" borderId="6" xfId="0" applyNumberFormat="1" applyBorder="1"/>
    <xf numFmtId="44" fontId="0" fillId="0" borderId="0" xfId="0" applyNumberFormat="1"/>
    <xf numFmtId="44" fontId="0" fillId="2" borderId="0" xfId="1" applyFont="1" applyFill="1" applyAlignment="1">
      <alignment horizontal="center"/>
    </xf>
    <xf numFmtId="2" fontId="3" fillId="3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44" fontId="0" fillId="0" borderId="4" xfId="0" applyNumberFormat="1" applyBorder="1"/>
    <xf numFmtId="44" fontId="0" fillId="0" borderId="6" xfId="1" applyFont="1" applyBorder="1"/>
    <xf numFmtId="0" fontId="0" fillId="0" borderId="10" xfId="0" applyBorder="1" applyAlignment="1">
      <alignment horizontal="right"/>
    </xf>
    <xf numFmtId="44" fontId="0" fillId="0" borderId="9" xfId="1" applyFont="1" applyBorder="1"/>
  </cellXfs>
  <cellStyles count="2">
    <cellStyle name="Moneda" xfId="1" builtinId="4"/>
    <cellStyle name="Normal" xfId="0" builtinId="0"/>
  </cellStyles>
  <dxfs count="1"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CC4F-2863-4426-8A5E-23BA6B26C43D}">
  <dimension ref="A1:H152"/>
  <sheetViews>
    <sheetView showGridLines="0" tabSelected="1" topLeftCell="B5" zoomScale="130" zoomScaleNormal="130" workbookViewId="0">
      <selection activeCell="G7" sqref="G7"/>
    </sheetView>
  </sheetViews>
  <sheetFormatPr baseColWidth="10" defaultRowHeight="15" x14ac:dyDescent="0.25"/>
  <cols>
    <col min="1" max="1" width="9.5703125" customWidth="1"/>
    <col min="2" max="2" width="19" customWidth="1"/>
    <col min="3" max="3" width="15.140625" style="1" customWidth="1"/>
    <col min="4" max="4" width="17.140625" customWidth="1"/>
    <col min="5" max="5" width="20" bestFit="1" customWidth="1"/>
    <col min="6" max="6" width="19" bestFit="1" customWidth="1"/>
    <col min="7" max="7" width="13.5703125" bestFit="1" customWidth="1"/>
    <col min="8" max="8" width="12.28515625" bestFit="1" customWidth="1"/>
    <col min="9" max="9" width="20.5703125" bestFit="1" customWidth="1"/>
  </cols>
  <sheetData>
    <row r="1" spans="2:8" x14ac:dyDescent="0.25">
      <c r="C1"/>
    </row>
    <row r="2" spans="2:8" ht="24" x14ac:dyDescent="0.25">
      <c r="B2" s="27" t="s">
        <v>15</v>
      </c>
      <c r="C2" s="27"/>
      <c r="D2" s="27"/>
      <c r="E2" s="27"/>
      <c r="F2" s="27"/>
      <c r="G2" s="27"/>
      <c r="H2" s="27"/>
    </row>
    <row r="3" spans="2:8" x14ac:dyDescent="0.25">
      <c r="B3" s="8"/>
      <c r="C3" s="8"/>
      <c r="D3" s="8"/>
      <c r="E3" s="8"/>
      <c r="F3" s="8"/>
      <c r="G3" s="8"/>
      <c r="H3" s="8"/>
    </row>
    <row r="4" spans="2:8" x14ac:dyDescent="0.25">
      <c r="B4" s="8"/>
      <c r="C4" s="8"/>
      <c r="D4" s="8"/>
      <c r="E4" s="8"/>
      <c r="F4" s="8"/>
      <c r="G4" s="8"/>
      <c r="H4" s="8"/>
    </row>
    <row r="5" spans="2:8" x14ac:dyDescent="0.25">
      <c r="B5" s="15" t="s">
        <v>5</v>
      </c>
      <c r="C5" s="16"/>
      <c r="F5" s="9" t="s">
        <v>16</v>
      </c>
      <c r="G5" s="10"/>
    </row>
    <row r="6" spans="2:8" x14ac:dyDescent="0.25">
      <c r="B6" s="17" t="s">
        <v>0</v>
      </c>
      <c r="C6" s="32">
        <v>1000</v>
      </c>
      <c r="F6" s="11" t="s">
        <v>13</v>
      </c>
      <c r="G6" s="22">
        <f>-PMT(C8/12,C7*12,C6,,0)</f>
        <v>86.98842908542106</v>
      </c>
      <c r="H6" s="3"/>
    </row>
    <row r="7" spans="2:8" x14ac:dyDescent="0.25">
      <c r="B7" s="11" t="s">
        <v>2</v>
      </c>
      <c r="C7" s="18">
        <v>1</v>
      </c>
      <c r="F7" s="11"/>
      <c r="G7" s="23"/>
    </row>
    <row r="8" spans="2:8" x14ac:dyDescent="0.25">
      <c r="B8" s="14" t="s">
        <v>1</v>
      </c>
      <c r="C8" s="19">
        <v>0.08</v>
      </c>
      <c r="F8" s="11" t="s">
        <v>14</v>
      </c>
      <c r="G8" s="23">
        <v>2</v>
      </c>
      <c r="H8" s="25"/>
    </row>
    <row r="9" spans="2:8" x14ac:dyDescent="0.25">
      <c r="B9" s="11"/>
      <c r="C9" s="13"/>
      <c r="E9" s="25">
        <f>C8*C6</f>
        <v>80</v>
      </c>
      <c r="F9" s="14" t="s">
        <v>23</v>
      </c>
      <c r="G9" s="24">
        <f>+G8+G6</f>
        <v>88.98842908542106</v>
      </c>
      <c r="H9" s="3"/>
    </row>
    <row r="10" spans="2:8" x14ac:dyDescent="0.25">
      <c r="B10" s="11"/>
      <c r="C10" s="12"/>
    </row>
    <row r="11" spans="2:8" x14ac:dyDescent="0.25">
      <c r="B11" s="17" t="s">
        <v>3</v>
      </c>
      <c r="C11" s="20">
        <v>46117</v>
      </c>
      <c r="F11" s="28" t="s">
        <v>17</v>
      </c>
      <c r="G11" s="10"/>
    </row>
    <row r="12" spans="2:8" x14ac:dyDescent="0.25">
      <c r="B12" s="11" t="s">
        <v>4</v>
      </c>
      <c r="C12" s="31" t="s">
        <v>7</v>
      </c>
      <c r="F12" s="11" t="s">
        <v>18</v>
      </c>
      <c r="G12" s="29">
        <f>SUM(E19:E152)</f>
        <v>43.861149025052839</v>
      </c>
      <c r="H12" s="3">
        <f>SUM(F19:F152)</f>
        <v>24</v>
      </c>
    </row>
    <row r="13" spans="2:8" x14ac:dyDescent="0.25">
      <c r="B13" s="14" t="s">
        <v>6</v>
      </c>
      <c r="C13" s="21">
        <f>IF(AND(C9="Sí",C12="Quincenal"),(C7*11)*2,IF(AND(C9="Sí",C12="Mensual"),C7*11,IF(C12="Quincenal",(C7*12)*2,C7*12)))</f>
        <v>12</v>
      </c>
      <c r="F13" s="14" t="s">
        <v>22</v>
      </c>
      <c r="G13" s="30">
        <f>+G12+C6</f>
        <v>1043.8611490250528</v>
      </c>
      <c r="H13" s="25">
        <f>+H12+G12</f>
        <v>67.861149025052839</v>
      </c>
    </row>
    <row r="14" spans="2:8" x14ac:dyDescent="0.25">
      <c r="C14"/>
      <c r="F14" s="2"/>
    </row>
    <row r="15" spans="2:8" hidden="1" x14ac:dyDescent="0.25">
      <c r="B15" t="s">
        <v>19</v>
      </c>
      <c r="C15">
        <f>IF(C12="Quincenal",2,1)</f>
        <v>1</v>
      </c>
    </row>
    <row r="16" spans="2:8" x14ac:dyDescent="0.25">
      <c r="C16"/>
    </row>
    <row r="17" spans="1:8" x14ac:dyDescent="0.25">
      <c r="A17" s="26" t="s">
        <v>8</v>
      </c>
      <c r="B17" s="26" t="s">
        <v>9</v>
      </c>
      <c r="C17" s="26" t="str">
        <f>IF(C12="Quincenal","Cuota Quincenal","Cuota Mensual")</f>
        <v>Cuota Mensual</v>
      </c>
      <c r="D17" s="26" t="s">
        <v>20</v>
      </c>
      <c r="E17" s="26" t="s">
        <v>21</v>
      </c>
      <c r="F17" s="26" t="s">
        <v>11</v>
      </c>
      <c r="G17" s="26" t="s">
        <v>10</v>
      </c>
      <c r="H17" s="26" t="s">
        <v>12</v>
      </c>
    </row>
    <row r="18" spans="1:8" x14ac:dyDescent="0.25">
      <c r="A18" s="5"/>
      <c r="B18" s="4"/>
      <c r="C18" s="4"/>
      <c r="D18" s="4"/>
      <c r="E18" s="4"/>
      <c r="F18" s="4"/>
      <c r="G18" s="4"/>
      <c r="H18" s="7">
        <f>IF(ISBLANK(C6),"",C6)</f>
        <v>1000</v>
      </c>
    </row>
    <row r="19" spans="1:8" x14ac:dyDescent="0.25">
      <c r="A19" s="5">
        <f>IF(H18&gt;=0,IF(A18&gt;=$C$13,"",A18+1),"")</f>
        <v>1</v>
      </c>
      <c r="B19" s="6">
        <f>IF(A19="","",IF($C$12="Quincenal",DATE(YEAR(BDAY),MONTH(BDAY)+(A19-1)/2+IF(AND(DAY(BDAY)&gt;=15,MOD(A19,2)=0),1,0),IF(MOD(A19,2)=0,IF(DAY(BDAY)&gt;=15,DAY(BDAY)-15,DAY(BDAY)+15),DAY(BDAY))),DATE(YEAR(BDAY),MONTH(BDAY)+(A19-1),DAY(BDAY))))</f>
        <v>46117</v>
      </c>
      <c r="C19" s="4">
        <f>IF(A19&lt;&gt;"",IF($C$12="Quincenal",$G$9/2,$G$9),"")</f>
        <v>88.98842908542106</v>
      </c>
      <c r="D19" s="4"/>
      <c r="E19" s="4">
        <f>IF(A19="","",IF(DAY(B19)&lt;=15,H18*($C$8/12),""))</f>
        <v>6.666666666666667</v>
      </c>
      <c r="F19" s="4">
        <f>IF(A19="","",IF(DAY(B19)&lt;=15,$G$8,""))</f>
        <v>2</v>
      </c>
      <c r="G19" s="4">
        <f>IF(A19="","",IF(DAY(B19)&lt;=15,C19+D19-E19-F19,C19+D19))</f>
        <v>80.321762418754389</v>
      </c>
      <c r="H19" s="7">
        <f>IF(A19="","",H18-G19)</f>
        <v>919.67823758124564</v>
      </c>
    </row>
    <row r="20" spans="1:8" x14ac:dyDescent="0.25">
      <c r="A20" s="5">
        <f t="shared" ref="A20:A83" si="0">IF(H19&gt;=0,IF(A19&gt;=$C$13,"",A19+1),"")</f>
        <v>2</v>
      </c>
      <c r="B20" s="6">
        <f>IF(A20="","",IF($C$12="Quincenal",DATE(YEAR(BDAY),MONTH(BDAY)+(A20-1)/2+IF(AND(DAY(BDAY)&gt;=15,MOD(A20,2)=0),1,0),IF(MOD(A20,2)=0,IF(DAY(BDAY)&gt;=15,DAY(BDAY)-15,DAY(BDAY)+15),DAY(BDAY))),DATE(YEAR(BDAY),MONTH(BDAY)+(A20-1),DAY(BDAY))))</f>
        <v>46147</v>
      </c>
      <c r="C20" s="4">
        <f>IF(A20&lt;&gt;"",IF($C$12="Quincenal",$G$9/2,$G$9),"")</f>
        <v>88.98842908542106</v>
      </c>
      <c r="D20" s="4"/>
      <c r="E20" s="4">
        <f t="shared" ref="E20:E83" si="1">IF(A20="","",IF(DAY(B20)&lt;=15,H19*($C$8/12),""))</f>
        <v>6.131188250541638</v>
      </c>
      <c r="F20" s="4">
        <f t="shared" ref="F20:F83" si="2">IF(A20="","",IF(DAY(B20)&lt;=15,$G$8,""))</f>
        <v>2</v>
      </c>
      <c r="G20" s="4">
        <f t="shared" ref="G20:G83" si="3">IF(A20="","",IF(DAY(B20)&lt;=15,C20+D20-E20-F20,C20+D20))</f>
        <v>80.85724083487942</v>
      </c>
      <c r="H20" s="7">
        <f t="shared" ref="H20:H83" si="4">IF(A20="","",H19-G20)</f>
        <v>838.82099674636618</v>
      </c>
    </row>
    <row r="21" spans="1:8" x14ac:dyDescent="0.25">
      <c r="A21" s="5">
        <f t="shared" si="0"/>
        <v>3</v>
      </c>
      <c r="B21" s="6">
        <f>IF(A21="","",IF($C$12="Quincenal",DATE(YEAR(BDAY),MONTH(BDAY)+(A21-1)/2+IF(AND(DAY(BDAY)&gt;=15,MOD(A21,2)=0),1,0),IF(MOD(A21,2)=0,IF(DAY(BDAY)&gt;=15,DAY(BDAY)-15,DAY(BDAY)+15),DAY(BDAY))),DATE(YEAR(BDAY),MONTH(BDAY)+(A21-1),DAY(BDAY))))</f>
        <v>46178</v>
      </c>
      <c r="C21" s="4">
        <f>IF(A21&lt;&gt;"",IF($C$12="Quincenal",$G$9/2,$G$9),"")</f>
        <v>88.98842908542106</v>
      </c>
      <c r="D21" s="4"/>
      <c r="E21" s="4">
        <f t="shared" si="1"/>
        <v>5.5921399783091079</v>
      </c>
      <c r="F21" s="4">
        <f t="shared" si="2"/>
        <v>2</v>
      </c>
      <c r="G21" s="4">
        <f t="shared" si="3"/>
        <v>81.396289107111954</v>
      </c>
      <c r="H21" s="7">
        <f t="shared" si="4"/>
        <v>757.42470763925417</v>
      </c>
    </row>
    <row r="22" spans="1:8" x14ac:dyDescent="0.25">
      <c r="A22" s="5">
        <f t="shared" si="0"/>
        <v>4</v>
      </c>
      <c r="B22" s="6">
        <f>IF(A22="","",IF($C$12="Quincenal",DATE(YEAR(BDAY),MONTH(BDAY)+(A22-1)/2+IF(AND(DAY(BDAY)&gt;=15,MOD(A22,2)=0),1,0),IF(MOD(A22,2)=0,IF(DAY(BDAY)&gt;=15,DAY(BDAY)-15,DAY(BDAY)+15),DAY(BDAY))),DATE(YEAR(BDAY),MONTH(BDAY)+(A22-1),DAY(BDAY))))</f>
        <v>46208</v>
      </c>
      <c r="C22" s="4">
        <f>IF(A22&lt;&gt;"",IF($C$12="Quincenal",$G$9/2,$G$9),"")</f>
        <v>88.98842908542106</v>
      </c>
      <c r="D22" s="4"/>
      <c r="E22" s="4">
        <f t="shared" si="1"/>
        <v>5.0494980509283618</v>
      </c>
      <c r="F22" s="4">
        <f t="shared" si="2"/>
        <v>2</v>
      </c>
      <c r="G22" s="4">
        <f t="shared" si="3"/>
        <v>81.938931034492697</v>
      </c>
      <c r="H22" s="7">
        <f t="shared" si="4"/>
        <v>675.48577660476144</v>
      </c>
    </row>
    <row r="23" spans="1:8" x14ac:dyDescent="0.25">
      <c r="A23" s="5">
        <f t="shared" si="0"/>
        <v>5</v>
      </c>
      <c r="B23" s="6">
        <f>IF(A23="","",IF($C$12="Quincenal",DATE(YEAR(BDAY),MONTH(BDAY)+(A23-1)/2+IF(AND(DAY(BDAY)&gt;=15,MOD(A23,2)=0),1,0),IF(MOD(A23,2)=0,IF(DAY(BDAY)&gt;=15,DAY(BDAY)-15,DAY(BDAY)+15),DAY(BDAY))),DATE(YEAR(BDAY),MONTH(BDAY)+(A23-1),DAY(BDAY))))</f>
        <v>46239</v>
      </c>
      <c r="C23" s="4">
        <f>IF(A23&lt;&gt;"",IF($C$12="Quincenal",$G$9/2,$G$9),"")</f>
        <v>88.98842908542106</v>
      </c>
      <c r="D23" s="4"/>
      <c r="E23" s="4">
        <f t="shared" si="1"/>
        <v>4.5032385106984103</v>
      </c>
      <c r="F23" s="4">
        <f t="shared" si="2"/>
        <v>2</v>
      </c>
      <c r="G23" s="4">
        <f t="shared" si="3"/>
        <v>82.485190574722651</v>
      </c>
      <c r="H23" s="7">
        <f t="shared" si="4"/>
        <v>593.00058603003879</v>
      </c>
    </row>
    <row r="24" spans="1:8" x14ac:dyDescent="0.25">
      <c r="A24" s="5">
        <f t="shared" si="0"/>
        <v>6</v>
      </c>
      <c r="B24" s="6">
        <f>IF(A24="","",IF($C$12="Quincenal",DATE(YEAR(BDAY),MONTH(BDAY)+(A24-1)/2+IF(AND(DAY(BDAY)&gt;=15,MOD(A24,2)=0),1,0),IF(MOD(A24,2)=0,IF(DAY(BDAY)&gt;=15,DAY(BDAY)-15,DAY(BDAY)+15),DAY(BDAY))),DATE(YEAR(BDAY),MONTH(BDAY)+(A24-1),DAY(BDAY))))</f>
        <v>46270</v>
      </c>
      <c r="C24" s="4">
        <f>IF(A24&lt;&gt;"",IF($C$12="Quincenal",$G$9/2,$G$9),"")</f>
        <v>88.98842908542106</v>
      </c>
      <c r="D24" s="4"/>
      <c r="E24" s="4">
        <f t="shared" si="1"/>
        <v>3.9533372402002587</v>
      </c>
      <c r="F24" s="4">
        <f t="shared" si="2"/>
        <v>2</v>
      </c>
      <c r="G24" s="4">
        <f t="shared" si="3"/>
        <v>83.035091845220805</v>
      </c>
      <c r="H24" s="7">
        <f t="shared" si="4"/>
        <v>509.965494184818</v>
      </c>
    </row>
    <row r="25" spans="1:8" x14ac:dyDescent="0.25">
      <c r="A25" s="5">
        <f t="shared" si="0"/>
        <v>7</v>
      </c>
      <c r="B25" s="6">
        <f>IF(A25="","",IF($C$12="Quincenal",DATE(YEAR(BDAY),MONTH(BDAY)+(A25-1)/2+IF(AND(DAY(BDAY)&gt;=15,MOD(A25,2)=0),1,0),IF(MOD(A25,2)=0,IF(DAY(BDAY)&gt;=15,DAY(BDAY)-15,DAY(BDAY)+15),DAY(BDAY))),DATE(YEAR(BDAY),MONTH(BDAY)+(A25-1),DAY(BDAY))))</f>
        <v>46300</v>
      </c>
      <c r="C25" s="4">
        <f>IF(A25&lt;&gt;"",IF($C$12="Quincenal",$G$9/2,$G$9),"")</f>
        <v>88.98842908542106</v>
      </c>
      <c r="D25" s="4"/>
      <c r="E25" s="4">
        <f t="shared" si="1"/>
        <v>3.3997699612321202</v>
      </c>
      <c r="F25" s="4">
        <f t="shared" si="2"/>
        <v>2</v>
      </c>
      <c r="G25" s="4">
        <f t="shared" si="3"/>
        <v>83.588659124188936</v>
      </c>
      <c r="H25" s="7">
        <f t="shared" si="4"/>
        <v>426.37683506062905</v>
      </c>
    </row>
    <row r="26" spans="1:8" x14ac:dyDescent="0.25">
      <c r="A26" s="5">
        <f t="shared" si="0"/>
        <v>8</v>
      </c>
      <c r="B26" s="6">
        <f>IF(A26="","",IF($C$12="Quincenal",DATE(YEAR(BDAY),MONTH(BDAY)+(A26-1)/2+IF(AND(DAY(BDAY)&gt;=15,MOD(A26,2)=0),1,0),IF(MOD(A26,2)=0,IF(DAY(BDAY)&gt;=15,DAY(BDAY)-15,DAY(BDAY)+15),DAY(BDAY))),DATE(YEAR(BDAY),MONTH(BDAY)+(A26-1),DAY(BDAY))))</f>
        <v>46331</v>
      </c>
      <c r="C26" s="4">
        <f>IF(A26&lt;&gt;"",IF($C$12="Quincenal",$G$9/2,$G$9),"")</f>
        <v>88.98842908542106</v>
      </c>
      <c r="D26" s="4"/>
      <c r="E26" s="4">
        <f t="shared" si="1"/>
        <v>2.8425122337375273</v>
      </c>
      <c r="F26" s="4">
        <f t="shared" si="2"/>
        <v>2</v>
      </c>
      <c r="G26" s="4">
        <f t="shared" si="3"/>
        <v>84.145916851683538</v>
      </c>
      <c r="H26" s="7">
        <f t="shared" si="4"/>
        <v>342.23091820894552</v>
      </c>
    </row>
    <row r="27" spans="1:8" x14ac:dyDescent="0.25">
      <c r="A27" s="5">
        <f t="shared" si="0"/>
        <v>9</v>
      </c>
      <c r="B27" s="6">
        <f>IF(A27="","",IF($C$12="Quincenal",DATE(YEAR(BDAY),MONTH(BDAY)+(A27-1)/2+IF(AND(DAY(BDAY)&gt;=15,MOD(A27,2)=0),1,0),IF(MOD(A27,2)=0,IF(DAY(BDAY)&gt;=15,DAY(BDAY)-15,DAY(BDAY)+15),DAY(BDAY))),DATE(YEAR(BDAY),MONTH(BDAY)+(A27-1),DAY(BDAY))))</f>
        <v>46361</v>
      </c>
      <c r="C27" s="4">
        <f>IF(A27&lt;&gt;"",IF($C$12="Quincenal",$G$9/2,$G$9),"")</f>
        <v>88.98842908542106</v>
      </c>
      <c r="D27" s="4"/>
      <c r="E27" s="4">
        <f t="shared" si="1"/>
        <v>2.2815394547263037</v>
      </c>
      <c r="F27" s="4">
        <f t="shared" si="2"/>
        <v>2</v>
      </c>
      <c r="G27" s="4">
        <f t="shared" si="3"/>
        <v>84.706889630694761</v>
      </c>
      <c r="H27" s="7">
        <f t="shared" si="4"/>
        <v>257.52402857825075</v>
      </c>
    </row>
    <row r="28" spans="1:8" x14ac:dyDescent="0.25">
      <c r="A28" s="5">
        <f t="shared" si="0"/>
        <v>10</v>
      </c>
      <c r="B28" s="6">
        <f>IF(A28="","",IF($C$12="Quincenal",DATE(YEAR(BDAY),MONTH(BDAY)+(A28-1)/2+IF(AND(DAY(BDAY)&gt;=15,MOD(A28,2)=0),1,0),IF(MOD(A28,2)=0,IF(DAY(BDAY)&gt;=15,DAY(BDAY)-15,DAY(BDAY)+15),DAY(BDAY))),DATE(YEAR(BDAY),MONTH(BDAY)+(A28-1),DAY(BDAY))))</f>
        <v>46392</v>
      </c>
      <c r="C28" s="4">
        <f>IF(A28&lt;&gt;"",IF($C$12="Quincenal",$G$9/2,$G$9),"")</f>
        <v>88.98842908542106</v>
      </c>
      <c r="D28" s="4"/>
      <c r="E28" s="4">
        <f t="shared" si="1"/>
        <v>1.7168268571883385</v>
      </c>
      <c r="F28" s="4">
        <f t="shared" si="2"/>
        <v>2</v>
      </c>
      <c r="G28" s="4">
        <f t="shared" si="3"/>
        <v>85.271602228232723</v>
      </c>
      <c r="H28" s="7">
        <f t="shared" si="4"/>
        <v>172.25242635001803</v>
      </c>
    </row>
    <row r="29" spans="1:8" x14ac:dyDescent="0.25">
      <c r="A29" s="5">
        <f t="shared" si="0"/>
        <v>11</v>
      </c>
      <c r="B29" s="6">
        <f>IF(A29="","",IF($C$12="Quincenal",DATE(YEAR(BDAY),MONTH(BDAY)+(A29-1)/2+IF(AND(DAY(BDAY)&gt;=15,MOD(A29,2)=0),1,0),IF(MOD(A29,2)=0,IF(DAY(BDAY)&gt;=15,DAY(BDAY)-15,DAY(BDAY)+15),DAY(BDAY))),DATE(YEAR(BDAY),MONTH(BDAY)+(A29-1),DAY(BDAY))))</f>
        <v>46423</v>
      </c>
      <c r="C29" s="4">
        <f>IF(A29&lt;&gt;"",IF($C$12="Quincenal",$G$9/2,$G$9),"")</f>
        <v>88.98842908542106</v>
      </c>
      <c r="D29" s="4"/>
      <c r="E29" s="4">
        <f t="shared" si="1"/>
        <v>1.1483495090001203</v>
      </c>
      <c r="F29" s="4">
        <f t="shared" si="2"/>
        <v>2</v>
      </c>
      <c r="G29" s="4">
        <f t="shared" si="3"/>
        <v>85.840079576420933</v>
      </c>
      <c r="H29" s="7">
        <f t="shared" si="4"/>
        <v>86.412346773597093</v>
      </c>
    </row>
    <row r="30" spans="1:8" x14ac:dyDescent="0.25">
      <c r="A30" s="5">
        <f t="shared" si="0"/>
        <v>12</v>
      </c>
      <c r="B30" s="6">
        <f>IF(A30="","",IF($C$12="Quincenal",DATE(YEAR(BDAY),MONTH(BDAY)+(A30-1)/2+IF(AND(DAY(BDAY)&gt;=15,MOD(A30,2)=0),1,0),IF(MOD(A30,2)=0,IF(DAY(BDAY)&gt;=15,DAY(BDAY)-15,DAY(BDAY)+15),DAY(BDAY))),DATE(YEAR(BDAY),MONTH(BDAY)+(A30-1),DAY(BDAY))))</f>
        <v>46451</v>
      </c>
      <c r="C30" s="4">
        <f>IF(A30&lt;&gt;"",IF($C$12="Quincenal",$G$9/2,$G$9),"")</f>
        <v>88.98842908542106</v>
      </c>
      <c r="D30" s="4"/>
      <c r="E30" s="4">
        <f t="shared" si="1"/>
        <v>0.57608231182398062</v>
      </c>
      <c r="F30" s="4">
        <f t="shared" si="2"/>
        <v>2</v>
      </c>
      <c r="G30" s="4">
        <f t="shared" si="3"/>
        <v>86.412346773597079</v>
      </c>
      <c r="H30" s="7">
        <f t="shared" si="4"/>
        <v>1.4210854715202004E-14</v>
      </c>
    </row>
    <row r="31" spans="1:8" x14ac:dyDescent="0.25">
      <c r="A31" s="5" t="str">
        <f t="shared" si="0"/>
        <v/>
      </c>
      <c r="B31" s="6" t="str">
        <f>IF(A31="","",IF($C$12="Quincenal",DATE(YEAR(BDAY),MONTH(BDAY)+(A31-1)/2+IF(AND(DAY(BDAY)&gt;=15,MOD(A31,2)=0),1,0),IF(MOD(A31,2)=0,IF(DAY(BDAY)&gt;=15,DAY(BDAY)-15,DAY(BDAY)+15),DAY(BDAY))),DATE(YEAR(BDAY),MONTH(BDAY)+(A31-1),DAY(BDAY))))</f>
        <v/>
      </c>
      <c r="C31" s="4" t="str">
        <f>IF(A31&lt;&gt;"",IF($C$12="Quincenal",$G$9/2,$G$9),"")</f>
        <v/>
      </c>
      <c r="D31" s="4"/>
      <c r="E31" s="4" t="str">
        <f t="shared" si="1"/>
        <v/>
      </c>
      <c r="F31" s="4" t="str">
        <f t="shared" si="2"/>
        <v/>
      </c>
      <c r="G31" s="4" t="str">
        <f t="shared" si="3"/>
        <v/>
      </c>
      <c r="H31" s="7" t="str">
        <f t="shared" si="4"/>
        <v/>
      </c>
    </row>
    <row r="32" spans="1:8" x14ac:dyDescent="0.25">
      <c r="A32" s="5" t="str">
        <f t="shared" si="0"/>
        <v/>
      </c>
      <c r="B32" s="6" t="str">
        <f>IF(A32="","",IF($C$12="Quincenal",DATE(YEAR(BDAY),MONTH(BDAY)+(A32-1)/2+IF(AND(DAY(BDAY)&gt;=15,MOD(A32,2)=0),1,0),IF(MOD(A32,2)=0,IF(DAY(BDAY)&gt;=15,DAY(BDAY)-15,DAY(BDAY)+15),DAY(BDAY))),DATE(YEAR(BDAY),MONTH(BDAY)+(A32-1),DAY(BDAY))))</f>
        <v/>
      </c>
      <c r="C32" s="4" t="str">
        <f>IF(A32&lt;&gt;"",IF($C$12="Quincenal",$G$9/2,$G$9),"")</f>
        <v/>
      </c>
      <c r="D32" s="4"/>
      <c r="E32" s="4" t="str">
        <f t="shared" si="1"/>
        <v/>
      </c>
      <c r="F32" s="4" t="str">
        <f t="shared" si="2"/>
        <v/>
      </c>
      <c r="G32" s="4" t="str">
        <f t="shared" si="3"/>
        <v/>
      </c>
      <c r="H32" s="7" t="str">
        <f t="shared" si="4"/>
        <v/>
      </c>
    </row>
    <row r="33" spans="1:8" x14ac:dyDescent="0.25">
      <c r="A33" s="5" t="str">
        <f t="shared" si="0"/>
        <v/>
      </c>
      <c r="B33" s="6" t="str">
        <f>IF(A33="","",IF($C$12="Quincenal",DATE(YEAR(BDAY),MONTH(BDAY)+(A33-1)/2+IF(AND(DAY(BDAY)&gt;=15,MOD(A33,2)=0),1,0),IF(MOD(A33,2)=0,IF(DAY(BDAY)&gt;=15,DAY(BDAY)-15,DAY(BDAY)+15),DAY(BDAY))),DATE(YEAR(BDAY),MONTH(BDAY)+(A33-1),DAY(BDAY))))</f>
        <v/>
      </c>
      <c r="C33" s="4" t="str">
        <f>IF(A33&lt;&gt;"",IF($C$12="Quincenal",$G$9/2,$G$9),"")</f>
        <v/>
      </c>
      <c r="D33" s="4"/>
      <c r="E33" s="4" t="str">
        <f t="shared" si="1"/>
        <v/>
      </c>
      <c r="F33" s="4" t="str">
        <f t="shared" si="2"/>
        <v/>
      </c>
      <c r="G33" s="4" t="str">
        <f t="shared" si="3"/>
        <v/>
      </c>
      <c r="H33" s="7" t="str">
        <f t="shared" si="4"/>
        <v/>
      </c>
    </row>
    <row r="34" spans="1:8" x14ac:dyDescent="0.25">
      <c r="A34" s="5" t="str">
        <f t="shared" si="0"/>
        <v/>
      </c>
      <c r="B34" s="6" t="str">
        <f>IF(A34="","",IF($C$12="Quincenal",DATE(YEAR(BDAY),MONTH(BDAY)+(A34-1)/2+IF(AND(DAY(BDAY)&gt;=15,MOD(A34,2)=0),1,0),IF(MOD(A34,2)=0,IF(DAY(BDAY)&gt;=15,DAY(BDAY)-15,DAY(BDAY)+15),DAY(BDAY))),DATE(YEAR(BDAY),MONTH(BDAY)+(A34-1),DAY(BDAY))))</f>
        <v/>
      </c>
      <c r="C34" s="4" t="str">
        <f>IF(A34&lt;&gt;"",IF($C$12="Quincenal",$G$9/2,$G$9),"")</f>
        <v/>
      </c>
      <c r="D34" s="4"/>
      <c r="E34" s="4" t="str">
        <f t="shared" si="1"/>
        <v/>
      </c>
      <c r="F34" s="4" t="str">
        <f t="shared" si="2"/>
        <v/>
      </c>
      <c r="G34" s="4" t="str">
        <f t="shared" si="3"/>
        <v/>
      </c>
      <c r="H34" s="7" t="str">
        <f t="shared" si="4"/>
        <v/>
      </c>
    </row>
    <row r="35" spans="1:8" x14ac:dyDescent="0.25">
      <c r="A35" s="5" t="str">
        <f t="shared" si="0"/>
        <v/>
      </c>
      <c r="B35" s="6" t="str">
        <f>IF(A35="","",IF($C$12="Quincenal",DATE(YEAR(BDAY),MONTH(BDAY)+(A35-1)/2+IF(AND(DAY(BDAY)&gt;=15,MOD(A35,2)=0),1,0),IF(MOD(A35,2)=0,IF(DAY(BDAY)&gt;=15,DAY(BDAY)-15,DAY(BDAY)+15),DAY(BDAY))),DATE(YEAR(BDAY),MONTH(BDAY)+(A35-1),DAY(BDAY))))</f>
        <v/>
      </c>
      <c r="C35" s="4" t="str">
        <f>IF(A35&lt;&gt;"",IF($C$12="Quincenal",$G$9/2,$G$9),"")</f>
        <v/>
      </c>
      <c r="D35" s="4"/>
      <c r="E35" s="4" t="str">
        <f t="shared" si="1"/>
        <v/>
      </c>
      <c r="F35" s="4" t="str">
        <f t="shared" si="2"/>
        <v/>
      </c>
      <c r="G35" s="4" t="str">
        <f t="shared" si="3"/>
        <v/>
      </c>
      <c r="H35" s="7" t="str">
        <f t="shared" si="4"/>
        <v/>
      </c>
    </row>
    <row r="36" spans="1:8" x14ac:dyDescent="0.25">
      <c r="A36" s="5" t="str">
        <f t="shared" si="0"/>
        <v/>
      </c>
      <c r="B36" s="6" t="str">
        <f>IF(A36="","",IF($C$12="Quincenal",DATE(YEAR(BDAY),MONTH(BDAY)+(A36-1)/2+IF(AND(DAY(BDAY)&gt;=15,MOD(A36,2)=0),1,0),IF(MOD(A36,2)=0,IF(DAY(BDAY)&gt;=15,DAY(BDAY)-15,DAY(BDAY)+15),DAY(BDAY))),DATE(YEAR(BDAY),MONTH(BDAY)+(A36-1),DAY(BDAY))))</f>
        <v/>
      </c>
      <c r="C36" s="4" t="str">
        <f>IF(A36&lt;&gt;"",IF($C$12="Quincenal",$G$9/2,$G$9),"")</f>
        <v/>
      </c>
      <c r="D36" s="4"/>
      <c r="E36" s="4" t="str">
        <f t="shared" si="1"/>
        <v/>
      </c>
      <c r="F36" s="4" t="str">
        <f t="shared" si="2"/>
        <v/>
      </c>
      <c r="G36" s="4" t="str">
        <f t="shared" si="3"/>
        <v/>
      </c>
      <c r="H36" s="7" t="str">
        <f t="shared" si="4"/>
        <v/>
      </c>
    </row>
    <row r="37" spans="1:8" x14ac:dyDescent="0.25">
      <c r="A37" s="5" t="str">
        <f t="shared" si="0"/>
        <v/>
      </c>
      <c r="B37" s="6" t="str">
        <f>IF(A37="","",IF($C$12="Quincenal",DATE(YEAR(BDAY),MONTH(BDAY)+(A37-1)/2+IF(AND(DAY(BDAY)&gt;=15,MOD(A37,2)=0),1,0),IF(MOD(A37,2)=0,IF(DAY(BDAY)&gt;=15,DAY(BDAY)-15,DAY(BDAY)+15),DAY(BDAY))),DATE(YEAR(BDAY),MONTH(BDAY)+(A37-1),DAY(BDAY))))</f>
        <v/>
      </c>
      <c r="C37" s="4" t="str">
        <f>IF(A37&lt;&gt;"",IF($C$12="Quincenal",$G$9/2,$G$9),"")</f>
        <v/>
      </c>
      <c r="D37" s="4"/>
      <c r="E37" s="4" t="str">
        <f t="shared" si="1"/>
        <v/>
      </c>
      <c r="F37" s="4" t="str">
        <f t="shared" si="2"/>
        <v/>
      </c>
      <c r="G37" s="4" t="str">
        <f t="shared" si="3"/>
        <v/>
      </c>
      <c r="H37" s="7" t="str">
        <f t="shared" si="4"/>
        <v/>
      </c>
    </row>
    <row r="38" spans="1:8" x14ac:dyDescent="0.25">
      <c r="A38" s="5" t="str">
        <f t="shared" si="0"/>
        <v/>
      </c>
      <c r="B38" s="6" t="str">
        <f>IF(A38="","",IF($C$12="Quincenal",DATE(YEAR(BDAY),MONTH(BDAY)+(A38-1)/2+IF(AND(DAY(BDAY)&gt;=15,MOD(A38,2)=0),1,0),IF(MOD(A38,2)=0,IF(DAY(BDAY)&gt;=15,DAY(BDAY)-15,DAY(BDAY)+15),DAY(BDAY))),DATE(YEAR(BDAY),MONTH(BDAY)+(A38-1),DAY(BDAY))))</f>
        <v/>
      </c>
      <c r="C38" s="4" t="str">
        <f>IF(A38&lt;&gt;"",IF($C$12="Quincenal",$G$9/2,$G$9),"")</f>
        <v/>
      </c>
      <c r="D38" s="4"/>
      <c r="E38" s="4" t="str">
        <f t="shared" si="1"/>
        <v/>
      </c>
      <c r="F38" s="4" t="str">
        <f t="shared" si="2"/>
        <v/>
      </c>
      <c r="G38" s="4" t="str">
        <f t="shared" si="3"/>
        <v/>
      </c>
      <c r="H38" s="7" t="str">
        <f t="shared" si="4"/>
        <v/>
      </c>
    </row>
    <row r="39" spans="1:8" x14ac:dyDescent="0.25">
      <c r="A39" s="5" t="str">
        <f t="shared" si="0"/>
        <v/>
      </c>
      <c r="B39" s="6" t="str">
        <f>IF(A39="","",IF($C$12="Quincenal",DATE(YEAR(BDAY),MONTH(BDAY)+(A39-1)/2+IF(AND(DAY(BDAY)&gt;=15,MOD(A39,2)=0),1,0),IF(MOD(A39,2)=0,IF(DAY(BDAY)&gt;=15,DAY(BDAY)-15,DAY(BDAY)+15),DAY(BDAY))),DATE(YEAR(BDAY),MONTH(BDAY)+(A39-1),DAY(BDAY))))</f>
        <v/>
      </c>
      <c r="C39" s="4" t="str">
        <f>IF(A39&lt;&gt;"",IF($C$12="Quincenal",$G$9/2,$G$9),"")</f>
        <v/>
      </c>
      <c r="D39" s="4"/>
      <c r="E39" s="4" t="str">
        <f t="shared" si="1"/>
        <v/>
      </c>
      <c r="F39" s="4" t="str">
        <f t="shared" si="2"/>
        <v/>
      </c>
      <c r="G39" s="4" t="str">
        <f t="shared" si="3"/>
        <v/>
      </c>
      <c r="H39" s="7" t="str">
        <f t="shared" si="4"/>
        <v/>
      </c>
    </row>
    <row r="40" spans="1:8" x14ac:dyDescent="0.25">
      <c r="A40" s="5" t="str">
        <f t="shared" si="0"/>
        <v/>
      </c>
      <c r="B40" s="6" t="str">
        <f>IF(A40="","",IF($C$12="Quincenal",DATE(YEAR(BDAY),MONTH(BDAY)+(A40-1)/2+IF(AND(DAY(BDAY)&gt;=15,MOD(A40,2)=0),1,0),IF(MOD(A40,2)=0,IF(DAY(BDAY)&gt;=15,DAY(BDAY)-15,DAY(BDAY)+15),DAY(BDAY))),DATE(YEAR(BDAY),MONTH(BDAY)+(A40-1),DAY(BDAY))))</f>
        <v/>
      </c>
      <c r="C40" s="4" t="str">
        <f>IF(A40&lt;&gt;"",IF($C$12="Quincenal",$G$9/2,$G$9),"")</f>
        <v/>
      </c>
      <c r="D40" s="4"/>
      <c r="E40" s="4" t="str">
        <f t="shared" si="1"/>
        <v/>
      </c>
      <c r="F40" s="4" t="str">
        <f t="shared" si="2"/>
        <v/>
      </c>
      <c r="G40" s="4" t="str">
        <f t="shared" si="3"/>
        <v/>
      </c>
      <c r="H40" s="7" t="str">
        <f t="shared" si="4"/>
        <v/>
      </c>
    </row>
    <row r="41" spans="1:8" x14ac:dyDescent="0.25">
      <c r="A41" s="5" t="str">
        <f t="shared" si="0"/>
        <v/>
      </c>
      <c r="B41" s="6" t="str">
        <f>IF(A41="","",IF($C$12="Quincenal",DATE(YEAR(BDAY),MONTH(BDAY)+(A41-1)/2+IF(AND(DAY(BDAY)&gt;=15,MOD(A41,2)=0),1,0),IF(MOD(A41,2)=0,IF(DAY(BDAY)&gt;=15,DAY(BDAY)-15,DAY(BDAY)+15),DAY(BDAY))),DATE(YEAR(BDAY),MONTH(BDAY)+(A41-1),DAY(BDAY))))</f>
        <v/>
      </c>
      <c r="C41" s="4" t="str">
        <f>IF(A41&lt;&gt;"",IF($C$12="Quincenal",$G$9/2,$G$9),"")</f>
        <v/>
      </c>
      <c r="D41" s="4"/>
      <c r="E41" s="4" t="str">
        <f t="shared" si="1"/>
        <v/>
      </c>
      <c r="F41" s="4" t="str">
        <f t="shared" si="2"/>
        <v/>
      </c>
      <c r="G41" s="4" t="str">
        <f t="shared" si="3"/>
        <v/>
      </c>
      <c r="H41" s="7" t="str">
        <f t="shared" si="4"/>
        <v/>
      </c>
    </row>
    <row r="42" spans="1:8" x14ac:dyDescent="0.25">
      <c r="A42" s="5" t="str">
        <f t="shared" si="0"/>
        <v/>
      </c>
      <c r="B42" s="6" t="str">
        <f>IF(A42="","",IF($C$12="Quincenal",DATE(YEAR(BDAY),MONTH(BDAY)+(A42-1)/2+IF(AND(DAY(BDAY)&gt;=15,MOD(A42,2)=0),1,0),IF(MOD(A42,2)=0,IF(DAY(BDAY)&gt;=15,DAY(BDAY)-15,DAY(BDAY)+15),DAY(BDAY))),DATE(YEAR(BDAY),MONTH(BDAY)+(A42-1),DAY(BDAY))))</f>
        <v/>
      </c>
      <c r="C42" s="4" t="str">
        <f>IF(A42&lt;&gt;"",IF($C$12="Quincenal",$G$9/2,$G$9),"")</f>
        <v/>
      </c>
      <c r="D42" s="4"/>
      <c r="E42" s="4" t="str">
        <f t="shared" si="1"/>
        <v/>
      </c>
      <c r="F42" s="4" t="str">
        <f t="shared" si="2"/>
        <v/>
      </c>
      <c r="G42" s="4" t="str">
        <f t="shared" si="3"/>
        <v/>
      </c>
      <c r="H42" s="7" t="str">
        <f t="shared" si="4"/>
        <v/>
      </c>
    </row>
    <row r="43" spans="1:8" x14ac:dyDescent="0.25">
      <c r="A43" s="5" t="str">
        <f t="shared" si="0"/>
        <v/>
      </c>
      <c r="B43" s="6" t="str">
        <f>IF(A43="","",IF($C$12="Quincenal",DATE(YEAR(BDAY),MONTH(BDAY)+(A43-1)/2+IF(AND(DAY(BDAY)&gt;=15,MOD(A43,2)=0),1,0),IF(MOD(A43,2)=0,IF(DAY(BDAY)&gt;=15,DAY(BDAY)-15,DAY(BDAY)+15),DAY(BDAY))),DATE(YEAR(BDAY),MONTH(BDAY)+(A43-1),DAY(BDAY))))</f>
        <v/>
      </c>
      <c r="C43" s="4" t="str">
        <f>IF(A43&lt;&gt;"",IF($C$12="Quincenal",$G$9/2,$G$9),"")</f>
        <v/>
      </c>
      <c r="D43" s="4"/>
      <c r="E43" s="4" t="str">
        <f t="shared" si="1"/>
        <v/>
      </c>
      <c r="F43" s="4" t="str">
        <f t="shared" si="2"/>
        <v/>
      </c>
      <c r="G43" s="4" t="str">
        <f t="shared" si="3"/>
        <v/>
      </c>
      <c r="H43" s="7" t="str">
        <f t="shared" si="4"/>
        <v/>
      </c>
    </row>
    <row r="44" spans="1:8" x14ac:dyDescent="0.25">
      <c r="A44" s="5" t="str">
        <f t="shared" si="0"/>
        <v/>
      </c>
      <c r="B44" s="6" t="str">
        <f>IF(A44="","",IF($C$12="Quincenal",DATE(YEAR(BDAY),MONTH(BDAY)+(A44-1)/2+IF(AND(DAY(BDAY)&gt;=15,MOD(A44,2)=0),1,0),IF(MOD(A44,2)=0,IF(DAY(BDAY)&gt;=15,DAY(BDAY)-15,DAY(BDAY)+15),DAY(BDAY))),DATE(YEAR(BDAY),MONTH(BDAY)+(A44-1),DAY(BDAY))))</f>
        <v/>
      </c>
      <c r="C44" s="4" t="str">
        <f>IF(A44&lt;&gt;"",IF($C$12="Quincenal",$G$9/2,$G$9),"")</f>
        <v/>
      </c>
      <c r="D44" s="4"/>
      <c r="E44" s="4" t="str">
        <f t="shared" si="1"/>
        <v/>
      </c>
      <c r="F44" s="4" t="str">
        <f t="shared" si="2"/>
        <v/>
      </c>
      <c r="G44" s="4" t="str">
        <f t="shared" si="3"/>
        <v/>
      </c>
      <c r="H44" s="7" t="str">
        <f t="shared" si="4"/>
        <v/>
      </c>
    </row>
    <row r="45" spans="1:8" x14ac:dyDescent="0.25">
      <c r="A45" s="5" t="str">
        <f t="shared" si="0"/>
        <v/>
      </c>
      <c r="B45" s="6" t="str">
        <f>IF(A45="","",IF($C$12="Quincenal",DATE(YEAR(BDAY),MONTH(BDAY)+(A45-1)/2+IF(AND(DAY(BDAY)&gt;=15,MOD(A45,2)=0),1,0),IF(MOD(A45,2)=0,IF(DAY(BDAY)&gt;=15,DAY(BDAY)-15,DAY(BDAY)+15),DAY(BDAY))),DATE(YEAR(BDAY),MONTH(BDAY)+(A45-1),DAY(BDAY))))</f>
        <v/>
      </c>
      <c r="C45" s="4" t="str">
        <f>IF(A45&lt;&gt;"",IF($C$12="Quincenal",$G$9/2,$G$9),"")</f>
        <v/>
      </c>
      <c r="D45" s="4"/>
      <c r="E45" s="4" t="str">
        <f t="shared" si="1"/>
        <v/>
      </c>
      <c r="F45" s="4" t="str">
        <f t="shared" si="2"/>
        <v/>
      </c>
      <c r="G45" s="4" t="str">
        <f t="shared" si="3"/>
        <v/>
      </c>
      <c r="H45" s="7" t="str">
        <f t="shared" si="4"/>
        <v/>
      </c>
    </row>
    <row r="46" spans="1:8" x14ac:dyDescent="0.25">
      <c r="A46" s="5" t="str">
        <f t="shared" si="0"/>
        <v/>
      </c>
      <c r="B46" s="6" t="str">
        <f>IF(A46="","",IF($C$12="Quincenal",DATE(YEAR(BDAY),MONTH(BDAY)+(A46-1)/2+IF(AND(DAY(BDAY)&gt;=15,MOD(A46,2)=0),1,0),IF(MOD(A46,2)=0,IF(DAY(BDAY)&gt;=15,DAY(BDAY)-15,DAY(BDAY)+15),DAY(BDAY))),DATE(YEAR(BDAY),MONTH(BDAY)+(A46-1),DAY(BDAY))))</f>
        <v/>
      </c>
      <c r="C46" s="4" t="str">
        <f>IF(A46&lt;&gt;"",IF($C$12="Quincenal",$G$9/2,$G$9),"")</f>
        <v/>
      </c>
      <c r="D46" s="4"/>
      <c r="E46" s="4" t="str">
        <f t="shared" si="1"/>
        <v/>
      </c>
      <c r="F46" s="4" t="str">
        <f t="shared" si="2"/>
        <v/>
      </c>
      <c r="G46" s="4" t="str">
        <f t="shared" si="3"/>
        <v/>
      </c>
      <c r="H46" s="7" t="str">
        <f t="shared" si="4"/>
        <v/>
      </c>
    </row>
    <row r="47" spans="1:8" x14ac:dyDescent="0.25">
      <c r="A47" s="5" t="str">
        <f t="shared" si="0"/>
        <v/>
      </c>
      <c r="B47" s="6" t="str">
        <f>IF(A47="","",IF($C$12="Quincenal",DATE(YEAR(BDAY),MONTH(BDAY)+(A47-1)/2+IF(AND(DAY(BDAY)&gt;=15,MOD(A47,2)=0),1,0),IF(MOD(A47,2)=0,IF(DAY(BDAY)&gt;=15,DAY(BDAY)-15,DAY(BDAY)+15),DAY(BDAY))),DATE(YEAR(BDAY),MONTH(BDAY)+(A47-1),DAY(BDAY))))</f>
        <v/>
      </c>
      <c r="C47" s="4" t="str">
        <f>IF(A47&lt;&gt;"",IF($C$12="Quincenal",$G$9/2,$G$9),"")</f>
        <v/>
      </c>
      <c r="D47" s="4"/>
      <c r="E47" s="4" t="str">
        <f t="shared" si="1"/>
        <v/>
      </c>
      <c r="F47" s="4" t="str">
        <f t="shared" si="2"/>
        <v/>
      </c>
      <c r="G47" s="4" t="str">
        <f t="shared" si="3"/>
        <v/>
      </c>
      <c r="H47" s="7" t="str">
        <f t="shared" si="4"/>
        <v/>
      </c>
    </row>
    <row r="48" spans="1:8" x14ac:dyDescent="0.25">
      <c r="A48" s="5" t="str">
        <f t="shared" si="0"/>
        <v/>
      </c>
      <c r="B48" s="6" t="str">
        <f>IF(A48="","",IF($C$12="Quincenal",DATE(YEAR(BDAY),MONTH(BDAY)+(A48-1)/2+IF(AND(DAY(BDAY)&gt;=15,MOD(A48,2)=0),1,0),IF(MOD(A48,2)=0,IF(DAY(BDAY)&gt;=15,DAY(BDAY)-15,DAY(BDAY)+15),DAY(BDAY))),DATE(YEAR(BDAY),MONTH(BDAY)+(A48-1),DAY(BDAY))))</f>
        <v/>
      </c>
      <c r="C48" s="4" t="str">
        <f>IF(A48&lt;&gt;"",IF($C$12="Quincenal",$G$9/2,$G$9),"")</f>
        <v/>
      </c>
      <c r="D48" s="4"/>
      <c r="E48" s="4" t="str">
        <f t="shared" si="1"/>
        <v/>
      </c>
      <c r="F48" s="4" t="str">
        <f t="shared" si="2"/>
        <v/>
      </c>
      <c r="G48" s="4" t="str">
        <f t="shared" si="3"/>
        <v/>
      </c>
      <c r="H48" s="7" t="str">
        <f t="shared" si="4"/>
        <v/>
      </c>
    </row>
    <row r="49" spans="1:8" x14ac:dyDescent="0.25">
      <c r="A49" s="5" t="str">
        <f t="shared" si="0"/>
        <v/>
      </c>
      <c r="B49" s="6" t="str">
        <f>IF(A49="","",IF($C$12="Quincenal",DATE(YEAR(BDAY),MONTH(BDAY)+(A49-1)/2+IF(AND(DAY(BDAY)&gt;=15,MOD(A49,2)=0),1,0),IF(MOD(A49,2)=0,IF(DAY(BDAY)&gt;=15,DAY(BDAY)-15,DAY(BDAY)+15),DAY(BDAY))),DATE(YEAR(BDAY),MONTH(BDAY)+(A49-1),DAY(BDAY))))</f>
        <v/>
      </c>
      <c r="C49" s="4" t="str">
        <f>IF(A49&lt;&gt;"",IF($C$12="Quincenal",$G$9/2,$G$9),"")</f>
        <v/>
      </c>
      <c r="D49" s="4"/>
      <c r="E49" s="4" t="str">
        <f t="shared" si="1"/>
        <v/>
      </c>
      <c r="F49" s="4" t="str">
        <f t="shared" si="2"/>
        <v/>
      </c>
      <c r="G49" s="4" t="str">
        <f t="shared" si="3"/>
        <v/>
      </c>
      <c r="H49" s="7" t="str">
        <f t="shared" si="4"/>
        <v/>
      </c>
    </row>
    <row r="50" spans="1:8" x14ac:dyDescent="0.25">
      <c r="A50" s="5" t="str">
        <f t="shared" si="0"/>
        <v/>
      </c>
      <c r="B50" s="6" t="str">
        <f>IF(A50="","",IF($C$12="Quincenal",DATE(YEAR(BDAY),MONTH(BDAY)+(A50-1)/2+IF(AND(DAY(BDAY)&gt;=15,MOD(A50,2)=0),1,0),IF(MOD(A50,2)=0,IF(DAY(BDAY)&gt;=15,DAY(BDAY)-15,DAY(BDAY)+15),DAY(BDAY))),DATE(YEAR(BDAY),MONTH(BDAY)+(A50-1),DAY(BDAY))))</f>
        <v/>
      </c>
      <c r="C50" s="4" t="str">
        <f>IF(A50&lt;&gt;"",IF($C$12="Quincenal",$G$9/2,$G$9),"")</f>
        <v/>
      </c>
      <c r="D50" s="4"/>
      <c r="E50" s="4" t="str">
        <f t="shared" si="1"/>
        <v/>
      </c>
      <c r="F50" s="4" t="str">
        <f t="shared" si="2"/>
        <v/>
      </c>
      <c r="G50" s="4" t="str">
        <f t="shared" si="3"/>
        <v/>
      </c>
      <c r="H50" s="7" t="str">
        <f t="shared" si="4"/>
        <v/>
      </c>
    </row>
    <row r="51" spans="1:8" x14ac:dyDescent="0.25">
      <c r="A51" s="5" t="str">
        <f t="shared" si="0"/>
        <v/>
      </c>
      <c r="B51" s="6" t="str">
        <f>IF(A51="","",IF($C$12="Quincenal",DATE(YEAR(BDAY),MONTH(BDAY)+(A51-1)/2+IF(AND(DAY(BDAY)&gt;=15,MOD(A51,2)=0),1,0),IF(MOD(A51,2)=0,IF(DAY(BDAY)&gt;=15,DAY(BDAY)-15,DAY(BDAY)+15),DAY(BDAY))),DATE(YEAR(BDAY),MONTH(BDAY)+(A51-1),DAY(BDAY))))</f>
        <v/>
      </c>
      <c r="C51" s="4" t="str">
        <f>IF(A51&lt;&gt;"",IF($C$12="Quincenal",$G$9/2,$G$9),"")</f>
        <v/>
      </c>
      <c r="D51" s="4"/>
      <c r="E51" s="4" t="str">
        <f t="shared" si="1"/>
        <v/>
      </c>
      <c r="F51" s="4" t="str">
        <f t="shared" si="2"/>
        <v/>
      </c>
      <c r="G51" s="4" t="str">
        <f t="shared" si="3"/>
        <v/>
      </c>
      <c r="H51" s="7" t="str">
        <f t="shared" si="4"/>
        <v/>
      </c>
    </row>
    <row r="52" spans="1:8" x14ac:dyDescent="0.25">
      <c r="A52" s="5" t="str">
        <f t="shared" si="0"/>
        <v/>
      </c>
      <c r="B52" s="6" t="str">
        <f>IF(A52="","",IF($C$12="Quincenal",DATE(YEAR(BDAY),MONTH(BDAY)+(A52-1)/2+IF(AND(DAY(BDAY)&gt;=15,MOD(A52,2)=0),1,0),IF(MOD(A52,2)=0,IF(DAY(BDAY)&gt;=15,DAY(BDAY)-15,DAY(BDAY)+15),DAY(BDAY))),DATE(YEAR(BDAY),MONTH(BDAY)+(A52-1),DAY(BDAY))))</f>
        <v/>
      </c>
      <c r="C52" s="4" t="str">
        <f>IF(A52&lt;&gt;"",IF($C$12="Quincenal",$G$9/2,$G$9),"")</f>
        <v/>
      </c>
      <c r="D52" s="4"/>
      <c r="E52" s="4" t="str">
        <f t="shared" si="1"/>
        <v/>
      </c>
      <c r="F52" s="4" t="str">
        <f t="shared" si="2"/>
        <v/>
      </c>
      <c r="G52" s="4" t="str">
        <f t="shared" si="3"/>
        <v/>
      </c>
      <c r="H52" s="7" t="str">
        <f t="shared" si="4"/>
        <v/>
      </c>
    </row>
    <row r="53" spans="1:8" x14ac:dyDescent="0.25">
      <c r="A53" s="5" t="str">
        <f t="shared" si="0"/>
        <v/>
      </c>
      <c r="B53" s="6" t="str">
        <f>IF(A53="","",IF($C$12="Quincenal",DATE(YEAR(BDAY),MONTH(BDAY)+(A53-1)/2+IF(AND(DAY(BDAY)&gt;=15,MOD(A53,2)=0),1,0),IF(MOD(A53,2)=0,IF(DAY(BDAY)&gt;=15,DAY(BDAY)-15,DAY(BDAY)+15),DAY(BDAY))),DATE(YEAR(BDAY),MONTH(BDAY)+(A53-1),DAY(BDAY))))</f>
        <v/>
      </c>
      <c r="C53" s="4" t="str">
        <f>IF(A53&lt;&gt;"",IF($C$12="Quincenal",$G$9/2,$G$9),"")</f>
        <v/>
      </c>
      <c r="D53" s="4"/>
      <c r="E53" s="4" t="str">
        <f t="shared" si="1"/>
        <v/>
      </c>
      <c r="F53" s="4" t="str">
        <f t="shared" si="2"/>
        <v/>
      </c>
      <c r="G53" s="4" t="str">
        <f t="shared" si="3"/>
        <v/>
      </c>
      <c r="H53" s="7" t="str">
        <f t="shared" si="4"/>
        <v/>
      </c>
    </row>
    <row r="54" spans="1:8" x14ac:dyDescent="0.25">
      <c r="A54" s="5" t="str">
        <f t="shared" si="0"/>
        <v/>
      </c>
      <c r="B54" s="6" t="str">
        <f>IF(A54="","",IF($C$12="Quincenal",DATE(YEAR(BDAY),MONTH(BDAY)+(A54-1)/2+IF(AND(DAY(BDAY)&gt;=15,MOD(A54,2)=0),1,0),IF(MOD(A54,2)=0,IF(DAY(BDAY)&gt;=15,DAY(BDAY)-15,DAY(BDAY)+15),DAY(BDAY))),DATE(YEAR(BDAY),MONTH(BDAY)+(A54-1),DAY(BDAY))))</f>
        <v/>
      </c>
      <c r="C54" s="4" t="str">
        <f>IF(A54&lt;&gt;"",IF($C$12="Quincenal",$G$9/2,$G$9),"")</f>
        <v/>
      </c>
      <c r="D54" s="4"/>
      <c r="E54" s="4" t="str">
        <f t="shared" si="1"/>
        <v/>
      </c>
      <c r="F54" s="4" t="str">
        <f t="shared" si="2"/>
        <v/>
      </c>
      <c r="G54" s="4" t="str">
        <f t="shared" si="3"/>
        <v/>
      </c>
      <c r="H54" s="7" t="str">
        <f t="shared" si="4"/>
        <v/>
      </c>
    </row>
    <row r="55" spans="1:8" x14ac:dyDescent="0.25">
      <c r="A55" s="5" t="str">
        <f t="shared" si="0"/>
        <v/>
      </c>
      <c r="B55" s="6" t="str">
        <f>IF(A55="","",IF($C$12="Quincenal",DATE(YEAR(BDAY),MONTH(BDAY)+(A55-1)/2+IF(AND(DAY(BDAY)&gt;=15,MOD(A55,2)=0),1,0),IF(MOD(A55,2)=0,IF(DAY(BDAY)&gt;=15,DAY(BDAY)-15,DAY(BDAY)+15),DAY(BDAY))),DATE(YEAR(BDAY),MONTH(BDAY)+(A55-1),DAY(BDAY))))</f>
        <v/>
      </c>
      <c r="C55" s="4" t="str">
        <f>IF(A55&lt;&gt;"",IF($C$12="Quincenal",$G$9/2,$G$9),"")</f>
        <v/>
      </c>
      <c r="D55" s="4"/>
      <c r="E55" s="4" t="str">
        <f t="shared" si="1"/>
        <v/>
      </c>
      <c r="F55" s="4" t="str">
        <f t="shared" si="2"/>
        <v/>
      </c>
      <c r="G55" s="4" t="str">
        <f t="shared" si="3"/>
        <v/>
      </c>
      <c r="H55" s="7" t="str">
        <f t="shared" si="4"/>
        <v/>
      </c>
    </row>
    <row r="56" spans="1:8" x14ac:dyDescent="0.25">
      <c r="A56" s="5" t="str">
        <f t="shared" si="0"/>
        <v/>
      </c>
      <c r="B56" s="6" t="str">
        <f>IF(A56="","",IF($C$12="Quincenal",DATE(YEAR(BDAY),MONTH(BDAY)+(A56-1)/2+IF(AND(DAY(BDAY)&gt;=15,MOD(A56,2)=0),1,0),IF(MOD(A56,2)=0,IF(DAY(BDAY)&gt;=15,DAY(BDAY)-15,DAY(BDAY)+15),DAY(BDAY))),DATE(YEAR(BDAY),MONTH(BDAY)+(A56-1),DAY(BDAY))))</f>
        <v/>
      </c>
      <c r="C56" s="4" t="str">
        <f>IF(A56&lt;&gt;"",IF($C$12="Quincenal",$G$9/2,$G$9),"")</f>
        <v/>
      </c>
      <c r="D56" s="4"/>
      <c r="E56" s="4" t="str">
        <f t="shared" si="1"/>
        <v/>
      </c>
      <c r="F56" s="4" t="str">
        <f t="shared" si="2"/>
        <v/>
      </c>
      <c r="G56" s="4" t="str">
        <f t="shared" si="3"/>
        <v/>
      </c>
      <c r="H56" s="7" t="str">
        <f t="shared" si="4"/>
        <v/>
      </c>
    </row>
    <row r="57" spans="1:8" x14ac:dyDescent="0.25">
      <c r="A57" s="5" t="str">
        <f t="shared" si="0"/>
        <v/>
      </c>
      <c r="B57" s="6" t="str">
        <f>IF(A57="","",IF($C$12="Quincenal",DATE(YEAR(BDAY),MONTH(BDAY)+(A57-1)/2+IF(AND(DAY(BDAY)&gt;=15,MOD(A57,2)=0),1,0),IF(MOD(A57,2)=0,IF(DAY(BDAY)&gt;=15,DAY(BDAY)-15,DAY(BDAY)+15),DAY(BDAY))),DATE(YEAR(BDAY),MONTH(BDAY)+(A57-1),DAY(BDAY))))</f>
        <v/>
      </c>
      <c r="C57" s="4" t="str">
        <f>IF(A57&lt;&gt;"",IF($C$12="Quincenal",$G$9/2,$G$9),"")</f>
        <v/>
      </c>
      <c r="D57" s="4"/>
      <c r="E57" s="4" t="str">
        <f t="shared" si="1"/>
        <v/>
      </c>
      <c r="F57" s="4" t="str">
        <f t="shared" si="2"/>
        <v/>
      </c>
      <c r="G57" s="4" t="str">
        <f t="shared" si="3"/>
        <v/>
      </c>
      <c r="H57" s="7" t="str">
        <f t="shared" si="4"/>
        <v/>
      </c>
    </row>
    <row r="58" spans="1:8" x14ac:dyDescent="0.25">
      <c r="A58" s="5" t="str">
        <f t="shared" si="0"/>
        <v/>
      </c>
      <c r="B58" s="6" t="str">
        <f>IF(A58="","",IF($C$12="Quincenal",DATE(YEAR(BDAY),MONTH(BDAY)+(A58-1)/2+IF(AND(DAY(BDAY)&gt;=15,MOD(A58,2)=0),1,0),IF(MOD(A58,2)=0,IF(DAY(BDAY)&gt;=15,DAY(BDAY)-15,DAY(BDAY)+15),DAY(BDAY))),DATE(YEAR(BDAY),MONTH(BDAY)+(A58-1),DAY(BDAY))))</f>
        <v/>
      </c>
      <c r="C58" s="4" t="str">
        <f>IF(A58&lt;&gt;"",IF($C$12="Quincenal",$G$9/2,$G$9),"")</f>
        <v/>
      </c>
      <c r="D58" s="4"/>
      <c r="E58" s="4" t="str">
        <f t="shared" si="1"/>
        <v/>
      </c>
      <c r="F58" s="4" t="str">
        <f t="shared" si="2"/>
        <v/>
      </c>
      <c r="G58" s="4" t="str">
        <f t="shared" si="3"/>
        <v/>
      </c>
      <c r="H58" s="7" t="str">
        <f t="shared" si="4"/>
        <v/>
      </c>
    </row>
    <row r="59" spans="1:8" x14ac:dyDescent="0.25">
      <c r="A59" s="5" t="str">
        <f t="shared" si="0"/>
        <v/>
      </c>
      <c r="B59" s="6" t="str">
        <f>IF(A59="","",IF($C$12="Quincenal",DATE(YEAR(BDAY),MONTH(BDAY)+(A59-1)/2+IF(AND(DAY(BDAY)&gt;=15,MOD(A59,2)=0),1,0),IF(MOD(A59,2)=0,IF(DAY(BDAY)&gt;=15,DAY(BDAY)-15,DAY(BDAY)+15),DAY(BDAY))),DATE(YEAR(BDAY),MONTH(BDAY)+(A59-1),DAY(BDAY))))</f>
        <v/>
      </c>
      <c r="C59" s="4" t="str">
        <f>IF(A59&lt;&gt;"",IF($C$12="Quincenal",$G$9/2,$G$9),"")</f>
        <v/>
      </c>
      <c r="D59" s="4"/>
      <c r="E59" s="4" t="str">
        <f t="shared" si="1"/>
        <v/>
      </c>
      <c r="F59" s="4" t="str">
        <f t="shared" si="2"/>
        <v/>
      </c>
      <c r="G59" s="4" t="str">
        <f t="shared" si="3"/>
        <v/>
      </c>
      <c r="H59" s="7" t="str">
        <f t="shared" si="4"/>
        <v/>
      </c>
    </row>
    <row r="60" spans="1:8" x14ac:dyDescent="0.25">
      <c r="A60" s="5" t="str">
        <f t="shared" si="0"/>
        <v/>
      </c>
      <c r="B60" s="6" t="str">
        <f>IF(A60="","",IF($C$12="Quincenal",DATE(YEAR(BDAY),MONTH(BDAY)+(A60-1)/2+IF(AND(DAY(BDAY)&gt;=15,MOD(A60,2)=0),1,0),IF(MOD(A60,2)=0,IF(DAY(BDAY)&gt;=15,DAY(BDAY)-15,DAY(BDAY)+15),DAY(BDAY))),DATE(YEAR(BDAY),MONTH(BDAY)+(A60-1),DAY(BDAY))))</f>
        <v/>
      </c>
      <c r="C60" s="4" t="str">
        <f>IF(A60&lt;&gt;"",IF($C$12="Quincenal",$G$9/2,$G$9),"")</f>
        <v/>
      </c>
      <c r="D60" s="4"/>
      <c r="E60" s="4" t="str">
        <f t="shared" si="1"/>
        <v/>
      </c>
      <c r="F60" s="4" t="str">
        <f t="shared" si="2"/>
        <v/>
      </c>
      <c r="G60" s="4" t="str">
        <f t="shared" si="3"/>
        <v/>
      </c>
      <c r="H60" s="7" t="str">
        <f t="shared" si="4"/>
        <v/>
      </c>
    </row>
    <row r="61" spans="1:8" x14ac:dyDescent="0.25">
      <c r="A61" s="5" t="str">
        <f t="shared" si="0"/>
        <v/>
      </c>
      <c r="B61" s="6" t="str">
        <f>IF(A61="","",IF($C$12="Quincenal",DATE(YEAR(BDAY),MONTH(BDAY)+(A61-1)/2+IF(AND(DAY(BDAY)&gt;=15,MOD(A61,2)=0),1,0),IF(MOD(A61,2)=0,IF(DAY(BDAY)&gt;=15,DAY(BDAY)-15,DAY(BDAY)+15),DAY(BDAY))),DATE(YEAR(BDAY),MONTH(BDAY)+(A61-1),DAY(BDAY))))</f>
        <v/>
      </c>
      <c r="C61" s="4" t="str">
        <f>IF(A61&lt;&gt;"",IF($C$12="Quincenal",$G$9/2,$G$9),"")</f>
        <v/>
      </c>
      <c r="D61" s="4"/>
      <c r="E61" s="4" t="str">
        <f t="shared" si="1"/>
        <v/>
      </c>
      <c r="F61" s="4" t="str">
        <f t="shared" si="2"/>
        <v/>
      </c>
      <c r="G61" s="4" t="str">
        <f t="shared" si="3"/>
        <v/>
      </c>
      <c r="H61" s="7" t="str">
        <f t="shared" si="4"/>
        <v/>
      </c>
    </row>
    <row r="62" spans="1:8" x14ac:dyDescent="0.25">
      <c r="A62" s="5" t="str">
        <f t="shared" si="0"/>
        <v/>
      </c>
      <c r="B62" s="6" t="str">
        <f>IF(A62="","",IF($C$12="Quincenal",DATE(YEAR(BDAY),MONTH(BDAY)+(A62-1)/2+IF(AND(DAY(BDAY)&gt;=15,MOD(A62,2)=0),1,0),IF(MOD(A62,2)=0,IF(DAY(BDAY)&gt;=15,DAY(BDAY)-15,DAY(BDAY)+15),DAY(BDAY))),DATE(YEAR(BDAY),MONTH(BDAY)+(A62-1),DAY(BDAY))))</f>
        <v/>
      </c>
      <c r="C62" s="4" t="str">
        <f>IF(A62&lt;&gt;"",IF($C$12="Quincenal",$G$9/2,$G$9),"")</f>
        <v/>
      </c>
      <c r="D62" s="4"/>
      <c r="E62" s="4" t="str">
        <f t="shared" si="1"/>
        <v/>
      </c>
      <c r="F62" s="4" t="str">
        <f t="shared" si="2"/>
        <v/>
      </c>
      <c r="G62" s="4" t="str">
        <f t="shared" si="3"/>
        <v/>
      </c>
      <c r="H62" s="7" t="str">
        <f t="shared" si="4"/>
        <v/>
      </c>
    </row>
    <row r="63" spans="1:8" x14ac:dyDescent="0.25">
      <c r="A63" s="5" t="str">
        <f t="shared" si="0"/>
        <v/>
      </c>
      <c r="B63" s="6" t="str">
        <f>IF(A63="","",IF($C$12="Quincenal",DATE(YEAR(BDAY),MONTH(BDAY)+(A63-1)/2+IF(AND(DAY(BDAY)&gt;=15,MOD(A63,2)=0),1,0),IF(MOD(A63,2)=0,IF(DAY(BDAY)&gt;=15,DAY(BDAY)-15,DAY(BDAY)+15),DAY(BDAY))),DATE(YEAR(BDAY),MONTH(BDAY)+(A63-1),DAY(BDAY))))</f>
        <v/>
      </c>
      <c r="C63" s="4" t="str">
        <f>IF(A63&lt;&gt;"",IF($C$12="Quincenal",$G$9/2,$G$9),"")</f>
        <v/>
      </c>
      <c r="D63" s="4"/>
      <c r="E63" s="4" t="str">
        <f t="shared" si="1"/>
        <v/>
      </c>
      <c r="F63" s="4" t="str">
        <f t="shared" si="2"/>
        <v/>
      </c>
      <c r="G63" s="4" t="str">
        <f t="shared" si="3"/>
        <v/>
      </c>
      <c r="H63" s="7" t="str">
        <f t="shared" si="4"/>
        <v/>
      </c>
    </row>
    <row r="64" spans="1:8" x14ac:dyDescent="0.25">
      <c r="A64" s="5" t="str">
        <f t="shared" si="0"/>
        <v/>
      </c>
      <c r="B64" s="6" t="str">
        <f>IF(A64="","",IF($C$12="Quincenal",DATE(YEAR(BDAY),MONTH(BDAY)+(A64-1)/2+IF(AND(DAY(BDAY)&gt;=15,MOD(A64,2)=0),1,0),IF(MOD(A64,2)=0,IF(DAY(BDAY)&gt;=15,DAY(BDAY)-15,DAY(BDAY)+15),DAY(BDAY))),DATE(YEAR(BDAY),MONTH(BDAY)+(A64-1),DAY(BDAY))))</f>
        <v/>
      </c>
      <c r="C64" s="4" t="str">
        <f>IF(A64&lt;&gt;"",IF($C$12="Quincenal",$G$9/2,$G$9),"")</f>
        <v/>
      </c>
      <c r="D64" s="4"/>
      <c r="E64" s="4" t="str">
        <f t="shared" si="1"/>
        <v/>
      </c>
      <c r="F64" s="4" t="str">
        <f t="shared" si="2"/>
        <v/>
      </c>
      <c r="G64" s="4" t="str">
        <f t="shared" si="3"/>
        <v/>
      </c>
      <c r="H64" s="7" t="str">
        <f t="shared" si="4"/>
        <v/>
      </c>
    </row>
    <row r="65" spans="1:8" x14ac:dyDescent="0.25">
      <c r="A65" s="5" t="str">
        <f t="shared" si="0"/>
        <v/>
      </c>
      <c r="B65" s="6" t="str">
        <f>IF(A65="","",IF($C$12="Quincenal",DATE(YEAR(BDAY),MONTH(BDAY)+(A65-1)/2+IF(AND(DAY(BDAY)&gt;=15,MOD(A65,2)=0),1,0),IF(MOD(A65,2)=0,IF(DAY(BDAY)&gt;=15,DAY(BDAY)-15,DAY(BDAY)+15),DAY(BDAY))),DATE(YEAR(BDAY),MONTH(BDAY)+(A65-1),DAY(BDAY))))</f>
        <v/>
      </c>
      <c r="C65" s="4" t="str">
        <f>IF(A65&lt;&gt;"",IF($C$12="Quincenal",$G$9/2,$G$9),"")</f>
        <v/>
      </c>
      <c r="D65" s="4"/>
      <c r="E65" s="4" t="str">
        <f t="shared" si="1"/>
        <v/>
      </c>
      <c r="F65" s="4" t="str">
        <f t="shared" si="2"/>
        <v/>
      </c>
      <c r="G65" s="4" t="str">
        <f t="shared" si="3"/>
        <v/>
      </c>
      <c r="H65" s="7" t="str">
        <f t="shared" si="4"/>
        <v/>
      </c>
    </row>
    <row r="66" spans="1:8" x14ac:dyDescent="0.25">
      <c r="A66" s="5" t="str">
        <f t="shared" si="0"/>
        <v/>
      </c>
      <c r="B66" s="6" t="str">
        <f>IF(A66="","",IF($C$12="Quincenal",DATE(YEAR(BDAY),MONTH(BDAY)+(A66-1)/2+IF(AND(DAY(BDAY)&gt;=15,MOD(A66,2)=0),1,0),IF(MOD(A66,2)=0,IF(DAY(BDAY)&gt;=15,DAY(BDAY)-15,DAY(BDAY)+15),DAY(BDAY))),DATE(YEAR(BDAY),MONTH(BDAY)+(A66-1),DAY(BDAY))))</f>
        <v/>
      </c>
      <c r="C66" s="4" t="str">
        <f>IF(A66&lt;&gt;"",IF($C$12="Quincenal",$G$9/2,$G$9),"")</f>
        <v/>
      </c>
      <c r="D66" s="4"/>
      <c r="E66" s="4" t="str">
        <f t="shared" si="1"/>
        <v/>
      </c>
      <c r="F66" s="4" t="str">
        <f t="shared" si="2"/>
        <v/>
      </c>
      <c r="G66" s="4" t="str">
        <f t="shared" si="3"/>
        <v/>
      </c>
      <c r="H66" s="7" t="str">
        <f t="shared" si="4"/>
        <v/>
      </c>
    </row>
    <row r="67" spans="1:8" x14ac:dyDescent="0.25">
      <c r="A67" s="5" t="str">
        <f t="shared" si="0"/>
        <v/>
      </c>
      <c r="B67" s="6" t="str">
        <f>IF(A67="","",IF($C$12="Quincenal",DATE(YEAR(BDAY),MONTH(BDAY)+(A67-1)/2+IF(AND(DAY(BDAY)&gt;=15,MOD(A67,2)=0),1,0),IF(MOD(A67,2)=0,IF(DAY(BDAY)&gt;=15,DAY(BDAY)-15,DAY(BDAY)+15),DAY(BDAY))),DATE(YEAR(BDAY),MONTH(BDAY)+(A67-1),DAY(BDAY))))</f>
        <v/>
      </c>
      <c r="C67" s="4" t="str">
        <f>IF(A67&lt;&gt;"",IF($C$12="Quincenal",$G$9/2,$G$9),"")</f>
        <v/>
      </c>
      <c r="D67" s="4"/>
      <c r="E67" s="4" t="str">
        <f t="shared" si="1"/>
        <v/>
      </c>
      <c r="F67" s="4" t="str">
        <f t="shared" si="2"/>
        <v/>
      </c>
      <c r="G67" s="4" t="str">
        <f t="shared" si="3"/>
        <v/>
      </c>
      <c r="H67" s="7" t="str">
        <f t="shared" si="4"/>
        <v/>
      </c>
    </row>
    <row r="68" spans="1:8" x14ac:dyDescent="0.25">
      <c r="A68" s="5" t="str">
        <f t="shared" si="0"/>
        <v/>
      </c>
      <c r="B68" s="6" t="str">
        <f>IF(A68="","",IF($C$12="Quincenal",DATE(YEAR(BDAY),MONTH(BDAY)+(A68-1)/2+IF(AND(DAY(BDAY)&gt;=15,MOD(A68,2)=0),1,0),IF(MOD(A68,2)=0,IF(DAY(BDAY)&gt;=15,DAY(BDAY)-15,DAY(BDAY)+15),DAY(BDAY))),DATE(YEAR(BDAY),MONTH(BDAY)+(A68-1),DAY(BDAY))))</f>
        <v/>
      </c>
      <c r="C68" s="4" t="str">
        <f>IF(A68&lt;&gt;"",IF($C$12="Quincenal",$G$9/2,$G$9),"")</f>
        <v/>
      </c>
      <c r="D68" s="4"/>
      <c r="E68" s="4" t="str">
        <f t="shared" si="1"/>
        <v/>
      </c>
      <c r="F68" s="4" t="str">
        <f t="shared" si="2"/>
        <v/>
      </c>
      <c r="G68" s="4" t="str">
        <f t="shared" si="3"/>
        <v/>
      </c>
      <c r="H68" s="7" t="str">
        <f t="shared" si="4"/>
        <v/>
      </c>
    </row>
    <row r="69" spans="1:8" x14ac:dyDescent="0.25">
      <c r="A69" s="5" t="str">
        <f t="shared" si="0"/>
        <v/>
      </c>
      <c r="B69" s="6" t="str">
        <f>IF(A69="","",IF($C$12="Quincenal",DATE(YEAR(BDAY),MONTH(BDAY)+(A69-1)/2+IF(AND(DAY(BDAY)&gt;=15,MOD(A69,2)=0),1,0),IF(MOD(A69,2)=0,IF(DAY(BDAY)&gt;=15,DAY(BDAY)-15,DAY(BDAY)+15),DAY(BDAY))),DATE(YEAR(BDAY),MONTH(BDAY)+(A69-1),DAY(BDAY))))</f>
        <v/>
      </c>
      <c r="C69" s="4" t="str">
        <f>IF(A69&lt;&gt;"",IF($C$12="Quincenal",$G$9/2,$G$9),"")</f>
        <v/>
      </c>
      <c r="D69" s="4"/>
      <c r="E69" s="4" t="str">
        <f t="shared" si="1"/>
        <v/>
      </c>
      <c r="F69" s="4" t="str">
        <f t="shared" si="2"/>
        <v/>
      </c>
      <c r="G69" s="4" t="str">
        <f t="shared" si="3"/>
        <v/>
      </c>
      <c r="H69" s="7" t="str">
        <f t="shared" si="4"/>
        <v/>
      </c>
    </row>
    <row r="70" spans="1:8" x14ac:dyDescent="0.25">
      <c r="A70" s="5" t="str">
        <f t="shared" si="0"/>
        <v/>
      </c>
      <c r="B70" s="6" t="str">
        <f>IF(A70="","",IF($C$12="Quincenal",DATE(YEAR(BDAY),MONTH(BDAY)+(A70-1)/2+IF(AND(DAY(BDAY)&gt;=15,MOD(A70,2)=0),1,0),IF(MOD(A70,2)=0,IF(DAY(BDAY)&gt;=15,DAY(BDAY)-15,DAY(BDAY)+15),DAY(BDAY))),DATE(YEAR(BDAY),MONTH(BDAY)+(A70-1),DAY(BDAY))))</f>
        <v/>
      </c>
      <c r="C70" s="4" t="str">
        <f>IF(A70&lt;&gt;"",IF($C$12="Quincenal",$G$9/2,$G$9),"")</f>
        <v/>
      </c>
      <c r="D70" s="4"/>
      <c r="E70" s="4" t="str">
        <f t="shared" si="1"/>
        <v/>
      </c>
      <c r="F70" s="4" t="str">
        <f t="shared" si="2"/>
        <v/>
      </c>
      <c r="G70" s="4" t="str">
        <f t="shared" si="3"/>
        <v/>
      </c>
      <c r="H70" s="7" t="str">
        <f t="shared" si="4"/>
        <v/>
      </c>
    </row>
    <row r="71" spans="1:8" x14ac:dyDescent="0.25">
      <c r="A71" s="5" t="str">
        <f t="shared" si="0"/>
        <v/>
      </c>
      <c r="B71" s="6" t="str">
        <f>IF(A71="","",IF($C$12="Quincenal",DATE(YEAR(BDAY),MONTH(BDAY)+(A71-1)/2+IF(AND(DAY(BDAY)&gt;=15,MOD(A71,2)=0),1,0),IF(MOD(A71,2)=0,IF(DAY(BDAY)&gt;=15,DAY(BDAY)-15,DAY(BDAY)+15),DAY(BDAY))),DATE(YEAR(BDAY),MONTH(BDAY)+(A71-1),DAY(BDAY))))</f>
        <v/>
      </c>
      <c r="C71" s="4" t="str">
        <f>IF(A71&lt;&gt;"",IF($C$12="Quincenal",$G$9/2,$G$9),"")</f>
        <v/>
      </c>
      <c r="D71" s="4"/>
      <c r="E71" s="4" t="str">
        <f t="shared" si="1"/>
        <v/>
      </c>
      <c r="F71" s="4" t="str">
        <f t="shared" si="2"/>
        <v/>
      </c>
      <c r="G71" s="4" t="str">
        <f t="shared" si="3"/>
        <v/>
      </c>
      <c r="H71" s="7" t="str">
        <f t="shared" si="4"/>
        <v/>
      </c>
    </row>
    <row r="72" spans="1:8" x14ac:dyDescent="0.25">
      <c r="A72" s="5" t="str">
        <f t="shared" si="0"/>
        <v/>
      </c>
      <c r="B72" s="6" t="str">
        <f>IF(A72="","",IF($C$12="Quincenal",DATE(YEAR(BDAY),MONTH(BDAY)+(A72-1)/2+IF(AND(DAY(BDAY)&gt;=15,MOD(A72,2)=0),1,0),IF(MOD(A72,2)=0,IF(DAY(BDAY)&gt;=15,DAY(BDAY)-15,DAY(BDAY)+15),DAY(BDAY))),DATE(YEAR(BDAY),MONTH(BDAY)+(A72-1),DAY(BDAY))))</f>
        <v/>
      </c>
      <c r="C72" s="4" t="str">
        <f>IF(A72&lt;&gt;"",IF($C$12="Quincenal",$G$9/2,$G$9),"")</f>
        <v/>
      </c>
      <c r="D72" s="4"/>
      <c r="E72" s="4" t="str">
        <f t="shared" si="1"/>
        <v/>
      </c>
      <c r="F72" s="4" t="str">
        <f t="shared" si="2"/>
        <v/>
      </c>
      <c r="G72" s="4" t="str">
        <f t="shared" si="3"/>
        <v/>
      </c>
      <c r="H72" s="7" t="str">
        <f t="shared" si="4"/>
        <v/>
      </c>
    </row>
    <row r="73" spans="1:8" x14ac:dyDescent="0.25">
      <c r="A73" s="5" t="str">
        <f t="shared" si="0"/>
        <v/>
      </c>
      <c r="B73" s="6" t="str">
        <f>IF(A73="","",IF($C$12="Quincenal",DATE(YEAR(BDAY),MONTH(BDAY)+(A73-1)/2+IF(AND(DAY(BDAY)&gt;=15,MOD(A73,2)=0),1,0),IF(MOD(A73,2)=0,IF(DAY(BDAY)&gt;=15,DAY(BDAY)-15,DAY(BDAY)+15),DAY(BDAY))),DATE(YEAR(BDAY),MONTH(BDAY)+(A73-1),DAY(BDAY))))</f>
        <v/>
      </c>
      <c r="C73" s="4" t="str">
        <f>IF(A73&lt;&gt;"",IF($C$12="Quincenal",$G$9/2,$G$9),"")</f>
        <v/>
      </c>
      <c r="D73" s="4"/>
      <c r="E73" s="4" t="str">
        <f t="shared" si="1"/>
        <v/>
      </c>
      <c r="F73" s="4" t="str">
        <f t="shared" si="2"/>
        <v/>
      </c>
      <c r="G73" s="4" t="str">
        <f t="shared" si="3"/>
        <v/>
      </c>
      <c r="H73" s="7" t="str">
        <f t="shared" si="4"/>
        <v/>
      </c>
    </row>
    <row r="74" spans="1:8" x14ac:dyDescent="0.25">
      <c r="A74" s="5" t="str">
        <f t="shared" si="0"/>
        <v/>
      </c>
      <c r="B74" s="6" t="str">
        <f>IF(A74="","",IF($C$12="Quincenal",DATE(YEAR(BDAY),MONTH(BDAY)+(A74-1)/2+IF(AND(DAY(BDAY)&gt;=15,MOD(A74,2)=0),1,0),IF(MOD(A74,2)=0,IF(DAY(BDAY)&gt;=15,DAY(BDAY)-15,DAY(BDAY)+15),DAY(BDAY))),DATE(YEAR(BDAY),MONTH(BDAY)+(A74-1),DAY(BDAY))))</f>
        <v/>
      </c>
      <c r="C74" s="4" t="str">
        <f>IF(A74&lt;&gt;"",IF($C$12="Quincenal",$G$9/2,$G$9),"")</f>
        <v/>
      </c>
      <c r="D74" s="4"/>
      <c r="E74" s="4" t="str">
        <f t="shared" si="1"/>
        <v/>
      </c>
      <c r="F74" s="4" t="str">
        <f t="shared" si="2"/>
        <v/>
      </c>
      <c r="G74" s="4" t="str">
        <f t="shared" si="3"/>
        <v/>
      </c>
      <c r="H74" s="7" t="str">
        <f t="shared" si="4"/>
        <v/>
      </c>
    </row>
    <row r="75" spans="1:8" x14ac:dyDescent="0.25">
      <c r="A75" s="5" t="str">
        <f t="shared" si="0"/>
        <v/>
      </c>
      <c r="B75" s="6" t="str">
        <f>IF(A75="","",IF($C$12="Quincenal",DATE(YEAR(BDAY),MONTH(BDAY)+(A75-1)/2+IF(AND(DAY(BDAY)&gt;=15,MOD(A75,2)=0),1,0),IF(MOD(A75,2)=0,IF(DAY(BDAY)&gt;=15,DAY(BDAY)-15,DAY(BDAY)+15),DAY(BDAY))),DATE(YEAR(BDAY),MONTH(BDAY)+(A75-1),DAY(BDAY))))</f>
        <v/>
      </c>
      <c r="C75" s="4" t="str">
        <f>IF(A75&lt;&gt;"",IF($C$12="Quincenal",$G$9/2,$G$9),"")</f>
        <v/>
      </c>
      <c r="D75" s="4"/>
      <c r="E75" s="4" t="str">
        <f t="shared" si="1"/>
        <v/>
      </c>
      <c r="F75" s="4" t="str">
        <f t="shared" si="2"/>
        <v/>
      </c>
      <c r="G75" s="4" t="str">
        <f t="shared" si="3"/>
        <v/>
      </c>
      <c r="H75" s="7" t="str">
        <f t="shared" si="4"/>
        <v/>
      </c>
    </row>
    <row r="76" spans="1:8" x14ac:dyDescent="0.25">
      <c r="A76" s="5" t="str">
        <f t="shared" si="0"/>
        <v/>
      </c>
      <c r="B76" s="6" t="str">
        <f>IF(A76="","",IF($C$12="Quincenal",DATE(YEAR(BDAY),MONTH(BDAY)+(A76-1)/2+IF(AND(DAY(BDAY)&gt;=15,MOD(A76,2)=0),1,0),IF(MOD(A76,2)=0,IF(DAY(BDAY)&gt;=15,DAY(BDAY)-15,DAY(BDAY)+15),DAY(BDAY))),DATE(YEAR(BDAY),MONTH(BDAY)+(A76-1),DAY(BDAY))))</f>
        <v/>
      </c>
      <c r="C76" s="4" t="str">
        <f>IF(A76&lt;&gt;"",IF($C$12="Quincenal",$G$9/2,$G$9),"")</f>
        <v/>
      </c>
      <c r="D76" s="4"/>
      <c r="E76" s="4" t="str">
        <f t="shared" si="1"/>
        <v/>
      </c>
      <c r="F76" s="4" t="str">
        <f t="shared" si="2"/>
        <v/>
      </c>
      <c r="G76" s="4" t="str">
        <f t="shared" si="3"/>
        <v/>
      </c>
      <c r="H76" s="7" t="str">
        <f t="shared" si="4"/>
        <v/>
      </c>
    </row>
    <row r="77" spans="1:8" x14ac:dyDescent="0.25">
      <c r="A77" s="5" t="str">
        <f t="shared" si="0"/>
        <v/>
      </c>
      <c r="B77" s="6" t="str">
        <f>IF(A77="","",IF($C$12="Quincenal",DATE(YEAR(BDAY),MONTH(BDAY)+(A77-1)/2+IF(AND(DAY(BDAY)&gt;=15,MOD(A77,2)=0),1,0),IF(MOD(A77,2)=0,IF(DAY(BDAY)&gt;=15,DAY(BDAY)-15,DAY(BDAY)+15),DAY(BDAY))),DATE(YEAR(BDAY),MONTH(BDAY)+(A77-1),DAY(BDAY))))</f>
        <v/>
      </c>
      <c r="C77" s="4" t="str">
        <f>IF(A77&lt;&gt;"",IF($C$12="Quincenal",$G$9/2,$G$9),"")</f>
        <v/>
      </c>
      <c r="D77" s="4"/>
      <c r="E77" s="4" t="str">
        <f t="shared" si="1"/>
        <v/>
      </c>
      <c r="F77" s="4" t="str">
        <f t="shared" si="2"/>
        <v/>
      </c>
      <c r="G77" s="4" t="str">
        <f t="shared" si="3"/>
        <v/>
      </c>
      <c r="H77" s="7" t="str">
        <f t="shared" si="4"/>
        <v/>
      </c>
    </row>
    <row r="78" spans="1:8" x14ac:dyDescent="0.25">
      <c r="A78" s="5" t="str">
        <f t="shared" si="0"/>
        <v/>
      </c>
      <c r="B78" s="6" t="str">
        <f>IF(A78="","",IF($C$12="Quincenal",DATE(YEAR(BDAY),MONTH(BDAY)+(A78-1)/2+IF(AND(DAY(BDAY)&gt;=15,MOD(A78,2)=0),1,0),IF(MOD(A78,2)=0,IF(DAY(BDAY)&gt;=15,DAY(BDAY)-15,DAY(BDAY)+15),DAY(BDAY))),DATE(YEAR(BDAY),MONTH(BDAY)+(A78-1),DAY(BDAY))))</f>
        <v/>
      </c>
      <c r="C78" s="4" t="str">
        <f>IF(A78&lt;&gt;"",IF($C$12="Quincenal",$G$9/2,$G$9),"")</f>
        <v/>
      </c>
      <c r="D78" s="4"/>
      <c r="E78" s="4" t="str">
        <f t="shared" si="1"/>
        <v/>
      </c>
      <c r="F78" s="4" t="str">
        <f t="shared" si="2"/>
        <v/>
      </c>
      <c r="G78" s="4" t="str">
        <f t="shared" si="3"/>
        <v/>
      </c>
      <c r="H78" s="7" t="str">
        <f t="shared" si="4"/>
        <v/>
      </c>
    </row>
    <row r="79" spans="1:8" x14ac:dyDescent="0.25">
      <c r="A79" s="5" t="str">
        <f t="shared" si="0"/>
        <v/>
      </c>
      <c r="B79" s="6" t="str">
        <f>IF(A79="","",IF($C$12="Quincenal",DATE(YEAR(BDAY),MONTH(BDAY)+(A79-1)/2+IF(AND(DAY(BDAY)&gt;=15,MOD(A79,2)=0),1,0),IF(MOD(A79,2)=0,IF(DAY(BDAY)&gt;=15,DAY(BDAY)-15,DAY(BDAY)+15),DAY(BDAY))),DATE(YEAR(BDAY),MONTH(BDAY)+(A79-1),DAY(BDAY))))</f>
        <v/>
      </c>
      <c r="C79" s="4" t="str">
        <f>IF(A79&lt;&gt;"",IF($C$12="Quincenal",$G$9/2,$G$9),"")</f>
        <v/>
      </c>
      <c r="D79" s="4"/>
      <c r="E79" s="4" t="str">
        <f t="shared" si="1"/>
        <v/>
      </c>
      <c r="F79" s="4" t="str">
        <f t="shared" si="2"/>
        <v/>
      </c>
      <c r="G79" s="4" t="str">
        <f t="shared" si="3"/>
        <v/>
      </c>
      <c r="H79" s="7" t="str">
        <f t="shared" si="4"/>
        <v/>
      </c>
    </row>
    <row r="80" spans="1:8" x14ac:dyDescent="0.25">
      <c r="A80" s="5" t="str">
        <f t="shared" si="0"/>
        <v/>
      </c>
      <c r="B80" s="6" t="str">
        <f>IF(A80="","",IF($C$12="Quincenal",DATE(YEAR(BDAY),MONTH(BDAY)+(A80-1)/2+IF(AND(DAY(BDAY)&gt;=15,MOD(A80,2)=0),1,0),IF(MOD(A80,2)=0,IF(DAY(BDAY)&gt;=15,DAY(BDAY)-15,DAY(BDAY)+15),DAY(BDAY))),DATE(YEAR(BDAY),MONTH(BDAY)+(A80-1),DAY(BDAY))))</f>
        <v/>
      </c>
      <c r="C80" s="4" t="str">
        <f>IF(A80&lt;&gt;"",IF($C$12="Quincenal",$G$9/2,$G$9),"")</f>
        <v/>
      </c>
      <c r="D80" s="4"/>
      <c r="E80" s="4" t="str">
        <f t="shared" si="1"/>
        <v/>
      </c>
      <c r="F80" s="4" t="str">
        <f t="shared" si="2"/>
        <v/>
      </c>
      <c r="G80" s="4" t="str">
        <f t="shared" si="3"/>
        <v/>
      </c>
      <c r="H80" s="7" t="str">
        <f t="shared" si="4"/>
        <v/>
      </c>
    </row>
    <row r="81" spans="1:8" x14ac:dyDescent="0.25">
      <c r="A81" s="5" t="str">
        <f t="shared" si="0"/>
        <v/>
      </c>
      <c r="B81" s="6" t="str">
        <f>IF(A81="","",IF($C$12="Quincenal",DATE(YEAR(BDAY),MONTH(BDAY)+(A81-1)/2+IF(AND(DAY(BDAY)&gt;=15,MOD(A81,2)=0),1,0),IF(MOD(A81,2)=0,IF(DAY(BDAY)&gt;=15,DAY(BDAY)-15,DAY(BDAY)+15),DAY(BDAY))),DATE(YEAR(BDAY),MONTH(BDAY)+(A81-1),DAY(BDAY))))</f>
        <v/>
      </c>
      <c r="C81" s="4" t="str">
        <f>IF(A81&lt;&gt;"",IF($C$12="Quincenal",$G$9/2,$G$9),"")</f>
        <v/>
      </c>
      <c r="D81" s="4"/>
      <c r="E81" s="4" t="str">
        <f t="shared" si="1"/>
        <v/>
      </c>
      <c r="F81" s="4" t="str">
        <f t="shared" si="2"/>
        <v/>
      </c>
      <c r="G81" s="4" t="str">
        <f t="shared" si="3"/>
        <v/>
      </c>
      <c r="H81" s="7" t="str">
        <f t="shared" si="4"/>
        <v/>
      </c>
    </row>
    <row r="82" spans="1:8" x14ac:dyDescent="0.25">
      <c r="A82" s="5" t="str">
        <f t="shared" si="0"/>
        <v/>
      </c>
      <c r="B82" s="6" t="str">
        <f>IF(A82="","",IF($C$12="Quincenal",DATE(YEAR(BDAY),MONTH(BDAY)+(A82-1)/2+IF(AND(DAY(BDAY)&gt;=15,MOD(A82,2)=0),1,0),IF(MOD(A82,2)=0,IF(DAY(BDAY)&gt;=15,DAY(BDAY)-15,DAY(BDAY)+15),DAY(BDAY))),DATE(YEAR(BDAY),MONTH(BDAY)+(A82-1),DAY(BDAY))))</f>
        <v/>
      </c>
      <c r="C82" s="4" t="str">
        <f>IF(A82&lt;&gt;"",IF($C$12="Quincenal",$G$9/2,$G$9),"")</f>
        <v/>
      </c>
      <c r="D82" s="4"/>
      <c r="E82" s="4" t="str">
        <f t="shared" si="1"/>
        <v/>
      </c>
      <c r="F82" s="4" t="str">
        <f t="shared" si="2"/>
        <v/>
      </c>
      <c r="G82" s="4" t="str">
        <f t="shared" si="3"/>
        <v/>
      </c>
      <c r="H82" s="7" t="str">
        <f t="shared" si="4"/>
        <v/>
      </c>
    </row>
    <row r="83" spans="1:8" x14ac:dyDescent="0.25">
      <c r="A83" s="5" t="str">
        <f t="shared" si="0"/>
        <v/>
      </c>
      <c r="B83" s="6" t="str">
        <f>IF(A83="","",IF($C$12="Quincenal",DATE(YEAR(BDAY),MONTH(BDAY)+(A83-1)/2+IF(AND(DAY(BDAY)&gt;=15,MOD(A83,2)=0),1,0),IF(MOD(A83,2)=0,IF(DAY(BDAY)&gt;=15,DAY(BDAY)-15,DAY(BDAY)+15),DAY(BDAY))),DATE(YEAR(BDAY),MONTH(BDAY)+(A83-1),DAY(BDAY))))</f>
        <v/>
      </c>
      <c r="C83" s="4" t="str">
        <f>IF(A83&lt;&gt;"",IF($C$12="Quincenal",$G$9/2,$G$9),"")</f>
        <v/>
      </c>
      <c r="D83" s="4"/>
      <c r="E83" s="4" t="str">
        <f t="shared" si="1"/>
        <v/>
      </c>
      <c r="F83" s="4" t="str">
        <f t="shared" si="2"/>
        <v/>
      </c>
      <c r="G83" s="4" t="str">
        <f t="shared" si="3"/>
        <v/>
      </c>
      <c r="H83" s="7" t="str">
        <f t="shared" si="4"/>
        <v/>
      </c>
    </row>
    <row r="84" spans="1:8" x14ac:dyDescent="0.25">
      <c r="A84" s="5" t="str">
        <f t="shared" ref="A84:A147" si="5">IF(H83&gt;=0,IF(A83&gt;=$C$13,"",A83+1),"")</f>
        <v/>
      </c>
      <c r="B84" s="6" t="str">
        <f>IF(A84="","",IF($C$12="Quincenal",DATE(YEAR(BDAY),MONTH(BDAY)+(A84-1)/2+IF(AND(DAY(BDAY)&gt;=15,MOD(A84,2)=0),1,0),IF(MOD(A84,2)=0,IF(DAY(BDAY)&gt;=15,DAY(BDAY)-15,DAY(BDAY)+15),DAY(BDAY))),DATE(YEAR(BDAY),MONTH(BDAY)+(A84-1),DAY(BDAY))))</f>
        <v/>
      </c>
      <c r="C84" s="4" t="str">
        <f>IF(A84&lt;&gt;"",IF($C$12="Quincenal",$G$9/2,$G$9),"")</f>
        <v/>
      </c>
      <c r="D84" s="4"/>
      <c r="E84" s="4" t="str">
        <f t="shared" ref="E84:E147" si="6">IF(A84="","",IF(DAY(B84)&lt;=15,H83*($C$8/12),""))</f>
        <v/>
      </c>
      <c r="F84" s="4" t="str">
        <f t="shared" ref="F84:F147" si="7">IF(A84="","",IF(DAY(B84)&lt;=15,$G$8,""))</f>
        <v/>
      </c>
      <c r="G84" s="4" t="str">
        <f t="shared" ref="G84:G147" si="8">IF(A84="","",IF(DAY(B84)&lt;=15,C84+D84-E84-F84,C84+D84))</f>
        <v/>
      </c>
      <c r="H84" s="7" t="str">
        <f t="shared" ref="H84:H147" si="9">IF(A84="","",H83-G84)</f>
        <v/>
      </c>
    </row>
    <row r="85" spans="1:8" x14ac:dyDescent="0.25">
      <c r="A85" s="5" t="str">
        <f t="shared" si="5"/>
        <v/>
      </c>
      <c r="B85" s="6" t="str">
        <f>IF(A85="","",IF($C$12="Quincenal",DATE(YEAR(BDAY),MONTH(BDAY)+(A85-1)/2+IF(AND(DAY(BDAY)&gt;=15,MOD(A85,2)=0),1,0),IF(MOD(A85,2)=0,IF(DAY(BDAY)&gt;=15,DAY(BDAY)-15,DAY(BDAY)+15),DAY(BDAY))),DATE(YEAR(BDAY),MONTH(BDAY)+(A85-1),DAY(BDAY))))</f>
        <v/>
      </c>
      <c r="C85" s="4" t="str">
        <f>IF(A85&lt;&gt;"",IF($C$12="Quincenal",$G$9/2,$G$9),"")</f>
        <v/>
      </c>
      <c r="D85" s="4"/>
      <c r="E85" s="4" t="str">
        <f t="shared" si="6"/>
        <v/>
      </c>
      <c r="F85" s="4" t="str">
        <f t="shared" si="7"/>
        <v/>
      </c>
      <c r="G85" s="4" t="str">
        <f t="shared" si="8"/>
        <v/>
      </c>
      <c r="H85" s="7" t="str">
        <f t="shared" si="9"/>
        <v/>
      </c>
    </row>
    <row r="86" spans="1:8" x14ac:dyDescent="0.25">
      <c r="A86" s="5" t="str">
        <f t="shared" si="5"/>
        <v/>
      </c>
      <c r="B86" s="6" t="str">
        <f>IF(A86="","",IF($C$12="Quincenal",DATE(YEAR(BDAY),MONTH(BDAY)+(A86-1)/2+IF(AND(DAY(BDAY)&gt;=15,MOD(A86,2)=0),1,0),IF(MOD(A86,2)=0,IF(DAY(BDAY)&gt;=15,DAY(BDAY)-15,DAY(BDAY)+15),DAY(BDAY))),DATE(YEAR(BDAY),MONTH(BDAY)+(A86-1),DAY(BDAY))))</f>
        <v/>
      </c>
      <c r="C86" s="4" t="str">
        <f>IF(A86&lt;&gt;"",IF($C$12="Quincenal",$G$9/2,$G$9),"")</f>
        <v/>
      </c>
      <c r="D86" s="4"/>
      <c r="E86" s="4" t="str">
        <f t="shared" si="6"/>
        <v/>
      </c>
      <c r="F86" s="4" t="str">
        <f t="shared" si="7"/>
        <v/>
      </c>
      <c r="G86" s="4" t="str">
        <f t="shared" si="8"/>
        <v/>
      </c>
      <c r="H86" s="7" t="str">
        <f t="shared" si="9"/>
        <v/>
      </c>
    </row>
    <row r="87" spans="1:8" x14ac:dyDescent="0.25">
      <c r="A87" s="5" t="str">
        <f t="shared" si="5"/>
        <v/>
      </c>
      <c r="B87" s="6" t="str">
        <f>IF(A87="","",IF($C$12="Quincenal",DATE(YEAR(BDAY),MONTH(BDAY)+(A87-1)/2+IF(AND(DAY(BDAY)&gt;=15,MOD(A87,2)=0),1,0),IF(MOD(A87,2)=0,IF(DAY(BDAY)&gt;=15,DAY(BDAY)-15,DAY(BDAY)+15),DAY(BDAY))),DATE(YEAR(BDAY),MONTH(BDAY)+(A87-1),DAY(BDAY))))</f>
        <v/>
      </c>
      <c r="C87" s="4" t="str">
        <f>IF(A87&lt;&gt;"",IF($C$12="Quincenal",$G$9/2,$G$9),"")</f>
        <v/>
      </c>
      <c r="D87" s="4"/>
      <c r="E87" s="4" t="str">
        <f t="shared" si="6"/>
        <v/>
      </c>
      <c r="F87" s="4" t="str">
        <f t="shared" si="7"/>
        <v/>
      </c>
      <c r="G87" s="4" t="str">
        <f t="shared" si="8"/>
        <v/>
      </c>
      <c r="H87" s="7" t="str">
        <f t="shared" si="9"/>
        <v/>
      </c>
    </row>
    <row r="88" spans="1:8" x14ac:dyDescent="0.25">
      <c r="A88" s="5" t="str">
        <f t="shared" si="5"/>
        <v/>
      </c>
      <c r="B88" s="6" t="str">
        <f>IF(A88="","",IF($C$12="Quincenal",DATE(YEAR(BDAY),MONTH(BDAY)+(A88-1)/2+IF(AND(DAY(BDAY)&gt;=15,MOD(A88,2)=0),1,0),IF(MOD(A88,2)=0,IF(DAY(BDAY)&gt;=15,DAY(BDAY)-15,DAY(BDAY)+15),DAY(BDAY))),DATE(YEAR(BDAY),MONTH(BDAY)+(A88-1),DAY(BDAY))))</f>
        <v/>
      </c>
      <c r="C88" s="4" t="str">
        <f>IF(A88&lt;&gt;"",IF($C$12="Quincenal",$G$9/2,$G$9),"")</f>
        <v/>
      </c>
      <c r="D88" s="4"/>
      <c r="E88" s="4" t="str">
        <f t="shared" si="6"/>
        <v/>
      </c>
      <c r="F88" s="4" t="str">
        <f t="shared" si="7"/>
        <v/>
      </c>
      <c r="G88" s="4" t="str">
        <f t="shared" si="8"/>
        <v/>
      </c>
      <c r="H88" s="7" t="str">
        <f t="shared" si="9"/>
        <v/>
      </c>
    </row>
    <row r="89" spans="1:8" x14ac:dyDescent="0.25">
      <c r="A89" s="5" t="str">
        <f t="shared" si="5"/>
        <v/>
      </c>
      <c r="B89" s="6" t="str">
        <f>IF(A89="","",IF($C$12="Quincenal",DATE(YEAR(BDAY),MONTH(BDAY)+(A89-1)/2+IF(AND(DAY(BDAY)&gt;=15,MOD(A89,2)=0),1,0),IF(MOD(A89,2)=0,IF(DAY(BDAY)&gt;=15,DAY(BDAY)-15,DAY(BDAY)+15),DAY(BDAY))),DATE(YEAR(BDAY),MONTH(BDAY)+(A89-1),DAY(BDAY))))</f>
        <v/>
      </c>
      <c r="C89" s="4" t="str">
        <f>IF(A89&lt;&gt;"",IF($C$12="Quincenal",$G$9/2,$G$9),"")</f>
        <v/>
      </c>
      <c r="D89" s="4"/>
      <c r="E89" s="4" t="str">
        <f t="shared" si="6"/>
        <v/>
      </c>
      <c r="F89" s="4" t="str">
        <f t="shared" si="7"/>
        <v/>
      </c>
      <c r="G89" s="4" t="str">
        <f t="shared" si="8"/>
        <v/>
      </c>
      <c r="H89" s="7" t="str">
        <f t="shared" si="9"/>
        <v/>
      </c>
    </row>
    <row r="90" spans="1:8" x14ac:dyDescent="0.25">
      <c r="A90" s="5" t="str">
        <f t="shared" si="5"/>
        <v/>
      </c>
      <c r="B90" s="6" t="str">
        <f>IF(A90="","",IF($C$12="Quincenal",DATE(YEAR(BDAY),MONTH(BDAY)+(A90-1)/2+IF(AND(DAY(BDAY)&gt;=15,MOD(A90,2)=0),1,0),IF(MOD(A90,2)=0,IF(DAY(BDAY)&gt;=15,DAY(BDAY)-15,DAY(BDAY)+15),DAY(BDAY))),DATE(YEAR(BDAY),MONTH(BDAY)+(A90-1),DAY(BDAY))))</f>
        <v/>
      </c>
      <c r="C90" s="4" t="str">
        <f>IF(A90&lt;&gt;"",IF($C$12="Quincenal",$G$9/2,$G$9),"")</f>
        <v/>
      </c>
      <c r="D90" s="4"/>
      <c r="E90" s="4" t="str">
        <f t="shared" si="6"/>
        <v/>
      </c>
      <c r="F90" s="4" t="str">
        <f t="shared" si="7"/>
        <v/>
      </c>
      <c r="G90" s="4" t="str">
        <f t="shared" si="8"/>
        <v/>
      </c>
      <c r="H90" s="7" t="str">
        <f t="shared" si="9"/>
        <v/>
      </c>
    </row>
    <row r="91" spans="1:8" x14ac:dyDescent="0.25">
      <c r="A91" s="5" t="str">
        <f t="shared" si="5"/>
        <v/>
      </c>
      <c r="B91" s="6" t="str">
        <f>IF(A91="","",IF($C$12="Quincenal",DATE(YEAR(BDAY),MONTH(BDAY)+(A91-1)/2+IF(AND(DAY(BDAY)&gt;=15,MOD(A91,2)=0),1,0),IF(MOD(A91,2)=0,IF(DAY(BDAY)&gt;=15,DAY(BDAY)-15,DAY(BDAY)+15),DAY(BDAY))),DATE(YEAR(BDAY),MONTH(BDAY)+(A91-1),DAY(BDAY))))</f>
        <v/>
      </c>
      <c r="C91" s="4" t="str">
        <f>IF(A91&lt;&gt;"",IF($C$12="Quincenal",$G$9/2,$G$9),"")</f>
        <v/>
      </c>
      <c r="D91" s="4"/>
      <c r="E91" s="4" t="str">
        <f t="shared" si="6"/>
        <v/>
      </c>
      <c r="F91" s="4" t="str">
        <f t="shared" si="7"/>
        <v/>
      </c>
      <c r="G91" s="4" t="str">
        <f t="shared" si="8"/>
        <v/>
      </c>
      <c r="H91" s="7" t="str">
        <f t="shared" si="9"/>
        <v/>
      </c>
    </row>
    <row r="92" spans="1:8" x14ac:dyDescent="0.25">
      <c r="A92" s="5" t="str">
        <f t="shared" si="5"/>
        <v/>
      </c>
      <c r="B92" s="6" t="str">
        <f>IF(A92="","",IF($C$12="Quincenal",DATE(YEAR(BDAY),MONTH(BDAY)+(A92-1)/2+IF(AND(DAY(BDAY)&gt;=15,MOD(A92,2)=0),1,0),IF(MOD(A92,2)=0,IF(DAY(BDAY)&gt;=15,DAY(BDAY)-15,DAY(BDAY)+15),DAY(BDAY))),DATE(YEAR(BDAY),MONTH(BDAY)+(A92-1),DAY(BDAY))))</f>
        <v/>
      </c>
      <c r="C92" s="4" t="str">
        <f>IF(A92&lt;&gt;"",IF($C$12="Quincenal",$G$9/2,$G$9),"")</f>
        <v/>
      </c>
      <c r="D92" s="4"/>
      <c r="E92" s="4" t="str">
        <f t="shared" si="6"/>
        <v/>
      </c>
      <c r="F92" s="4" t="str">
        <f t="shared" si="7"/>
        <v/>
      </c>
      <c r="G92" s="4" t="str">
        <f t="shared" si="8"/>
        <v/>
      </c>
      <c r="H92" s="7" t="str">
        <f t="shared" si="9"/>
        <v/>
      </c>
    </row>
    <row r="93" spans="1:8" x14ac:dyDescent="0.25">
      <c r="A93" s="5" t="str">
        <f t="shared" si="5"/>
        <v/>
      </c>
      <c r="B93" s="6" t="str">
        <f>IF(A93="","",IF($C$12="Quincenal",DATE(YEAR(BDAY),MONTH(BDAY)+(A93-1)/2+IF(AND(DAY(BDAY)&gt;=15,MOD(A93,2)=0),1,0),IF(MOD(A93,2)=0,IF(DAY(BDAY)&gt;=15,DAY(BDAY)-15,DAY(BDAY)+15),DAY(BDAY))),DATE(YEAR(BDAY),MONTH(BDAY)+(A93-1),DAY(BDAY))))</f>
        <v/>
      </c>
      <c r="C93" s="4" t="str">
        <f>IF(A93&lt;&gt;"",IF($C$12="Quincenal",$G$9/2,$G$9),"")</f>
        <v/>
      </c>
      <c r="D93" s="4"/>
      <c r="E93" s="4" t="str">
        <f t="shared" si="6"/>
        <v/>
      </c>
      <c r="F93" s="4" t="str">
        <f t="shared" si="7"/>
        <v/>
      </c>
      <c r="G93" s="4" t="str">
        <f t="shared" si="8"/>
        <v/>
      </c>
      <c r="H93" s="7" t="str">
        <f t="shared" si="9"/>
        <v/>
      </c>
    </row>
    <row r="94" spans="1:8" x14ac:dyDescent="0.25">
      <c r="A94" s="5" t="str">
        <f t="shared" si="5"/>
        <v/>
      </c>
      <c r="B94" s="6" t="str">
        <f>IF(A94="","",IF($C$12="Quincenal",DATE(YEAR(BDAY),MONTH(BDAY)+(A94-1)/2+IF(AND(DAY(BDAY)&gt;=15,MOD(A94,2)=0),1,0),IF(MOD(A94,2)=0,IF(DAY(BDAY)&gt;=15,DAY(BDAY)-15,DAY(BDAY)+15),DAY(BDAY))),DATE(YEAR(BDAY),MONTH(BDAY)+(A94-1),DAY(BDAY))))</f>
        <v/>
      </c>
      <c r="C94" s="4" t="str">
        <f>IF(A94&lt;&gt;"",IF($C$12="Quincenal",$G$9/2,$G$9),"")</f>
        <v/>
      </c>
      <c r="D94" s="4"/>
      <c r="E94" s="4" t="str">
        <f t="shared" si="6"/>
        <v/>
      </c>
      <c r="F94" s="4" t="str">
        <f t="shared" si="7"/>
        <v/>
      </c>
      <c r="G94" s="4" t="str">
        <f t="shared" si="8"/>
        <v/>
      </c>
      <c r="H94" s="7" t="str">
        <f t="shared" si="9"/>
        <v/>
      </c>
    </row>
    <row r="95" spans="1:8" x14ac:dyDescent="0.25">
      <c r="A95" s="5" t="str">
        <f t="shared" si="5"/>
        <v/>
      </c>
      <c r="B95" s="6" t="str">
        <f>IF(A95="","",IF($C$12="Quincenal",DATE(YEAR(BDAY),MONTH(BDAY)+(A95-1)/2+IF(AND(DAY(BDAY)&gt;=15,MOD(A95,2)=0),1,0),IF(MOD(A95,2)=0,IF(DAY(BDAY)&gt;=15,DAY(BDAY)-15,DAY(BDAY)+15),DAY(BDAY))),DATE(YEAR(BDAY),MONTH(BDAY)+(A95-1),DAY(BDAY))))</f>
        <v/>
      </c>
      <c r="C95" s="4" t="str">
        <f>IF(A95&lt;&gt;"",IF($C$12="Quincenal",$G$9/2,$G$9),"")</f>
        <v/>
      </c>
      <c r="D95" s="4"/>
      <c r="E95" s="4" t="str">
        <f t="shared" si="6"/>
        <v/>
      </c>
      <c r="F95" s="4" t="str">
        <f t="shared" si="7"/>
        <v/>
      </c>
      <c r="G95" s="4" t="str">
        <f t="shared" si="8"/>
        <v/>
      </c>
      <c r="H95" s="7" t="str">
        <f t="shared" si="9"/>
        <v/>
      </c>
    </row>
    <row r="96" spans="1:8" x14ac:dyDescent="0.25">
      <c r="A96" s="5" t="str">
        <f t="shared" si="5"/>
        <v/>
      </c>
      <c r="B96" s="6" t="str">
        <f>IF(A96="","",IF($C$12="Quincenal",DATE(YEAR(BDAY),MONTH(BDAY)+(A96-1)/2+IF(AND(DAY(BDAY)&gt;=15,MOD(A96,2)=0),1,0),IF(MOD(A96,2)=0,IF(DAY(BDAY)&gt;=15,DAY(BDAY)-15,DAY(BDAY)+15),DAY(BDAY))),DATE(YEAR(BDAY),MONTH(BDAY)+(A96-1),DAY(BDAY))))</f>
        <v/>
      </c>
      <c r="C96" s="4" t="str">
        <f>IF(A96&lt;&gt;"",IF($C$12="Quincenal",$G$9/2,$G$9),"")</f>
        <v/>
      </c>
      <c r="D96" s="4"/>
      <c r="E96" s="4" t="str">
        <f t="shared" si="6"/>
        <v/>
      </c>
      <c r="F96" s="4" t="str">
        <f t="shared" si="7"/>
        <v/>
      </c>
      <c r="G96" s="4" t="str">
        <f t="shared" si="8"/>
        <v/>
      </c>
      <c r="H96" s="7" t="str">
        <f t="shared" si="9"/>
        <v/>
      </c>
    </row>
    <row r="97" spans="1:8" x14ac:dyDescent="0.25">
      <c r="A97" s="5" t="str">
        <f t="shared" si="5"/>
        <v/>
      </c>
      <c r="B97" s="6" t="str">
        <f>IF(A97="","",IF($C$12="Quincenal",DATE(YEAR(BDAY),MONTH(BDAY)+(A97-1)/2+IF(AND(DAY(BDAY)&gt;=15,MOD(A97,2)=0),1,0),IF(MOD(A97,2)=0,IF(DAY(BDAY)&gt;=15,DAY(BDAY)-15,DAY(BDAY)+15),DAY(BDAY))),DATE(YEAR(BDAY),MONTH(BDAY)+(A97-1),DAY(BDAY))))</f>
        <v/>
      </c>
      <c r="C97" s="4" t="str">
        <f>IF(A97&lt;&gt;"",IF($C$12="Quincenal",$G$9/2,$G$9),"")</f>
        <v/>
      </c>
      <c r="D97" s="4"/>
      <c r="E97" s="4" t="str">
        <f t="shared" si="6"/>
        <v/>
      </c>
      <c r="F97" s="4" t="str">
        <f t="shared" si="7"/>
        <v/>
      </c>
      <c r="G97" s="4" t="str">
        <f t="shared" si="8"/>
        <v/>
      </c>
      <c r="H97" s="7" t="str">
        <f t="shared" si="9"/>
        <v/>
      </c>
    </row>
    <row r="98" spans="1:8" x14ac:dyDescent="0.25">
      <c r="A98" s="5" t="str">
        <f t="shared" si="5"/>
        <v/>
      </c>
      <c r="B98" s="6" t="str">
        <f>IF(A98="","",IF($C$12="Quincenal",DATE(YEAR(BDAY),MONTH(BDAY)+(A98-1)/2+IF(AND(DAY(BDAY)&gt;=15,MOD(A98,2)=0),1,0),IF(MOD(A98,2)=0,IF(DAY(BDAY)&gt;=15,DAY(BDAY)-15,DAY(BDAY)+15),DAY(BDAY))),DATE(YEAR(BDAY),MONTH(BDAY)+(A98-1),DAY(BDAY))))</f>
        <v/>
      </c>
      <c r="C98" s="4" t="str">
        <f>IF(A98&lt;&gt;"",IF($C$12="Quincenal",$G$9/2,$G$9),"")</f>
        <v/>
      </c>
      <c r="D98" s="4"/>
      <c r="E98" s="4" t="str">
        <f t="shared" si="6"/>
        <v/>
      </c>
      <c r="F98" s="4" t="str">
        <f t="shared" si="7"/>
        <v/>
      </c>
      <c r="G98" s="4" t="str">
        <f t="shared" si="8"/>
        <v/>
      </c>
      <c r="H98" s="7" t="str">
        <f t="shared" si="9"/>
        <v/>
      </c>
    </row>
    <row r="99" spans="1:8" x14ac:dyDescent="0.25">
      <c r="A99" s="5" t="str">
        <f t="shared" si="5"/>
        <v/>
      </c>
      <c r="B99" s="6" t="str">
        <f>IF(A99="","",IF($C$12="Quincenal",DATE(YEAR(BDAY),MONTH(BDAY)+(A99-1)/2+IF(AND(DAY(BDAY)&gt;=15,MOD(A99,2)=0),1,0),IF(MOD(A99,2)=0,IF(DAY(BDAY)&gt;=15,DAY(BDAY)-15,DAY(BDAY)+15),DAY(BDAY))),DATE(YEAR(BDAY),MONTH(BDAY)+(A99-1),DAY(BDAY))))</f>
        <v/>
      </c>
      <c r="C99" s="4" t="str">
        <f>IF(A99&lt;&gt;"",IF($C$12="Quincenal",$G$9/2,$G$9),"")</f>
        <v/>
      </c>
      <c r="D99" s="4"/>
      <c r="E99" s="4" t="str">
        <f t="shared" si="6"/>
        <v/>
      </c>
      <c r="F99" s="4" t="str">
        <f t="shared" si="7"/>
        <v/>
      </c>
      <c r="G99" s="4" t="str">
        <f t="shared" si="8"/>
        <v/>
      </c>
      <c r="H99" s="7" t="str">
        <f t="shared" si="9"/>
        <v/>
      </c>
    </row>
    <row r="100" spans="1:8" x14ac:dyDescent="0.25">
      <c r="A100" s="5" t="str">
        <f t="shared" si="5"/>
        <v/>
      </c>
      <c r="B100" s="6" t="str">
        <f>IF(A100="","",IF($C$12="Quincenal",DATE(YEAR(BDAY),MONTH(BDAY)+(A100-1)/2+IF(AND(DAY(BDAY)&gt;=15,MOD(A100,2)=0),1,0),IF(MOD(A100,2)=0,IF(DAY(BDAY)&gt;=15,DAY(BDAY)-15,DAY(BDAY)+15),DAY(BDAY))),DATE(YEAR(BDAY),MONTH(BDAY)+(A100-1),DAY(BDAY))))</f>
        <v/>
      </c>
      <c r="C100" s="4" t="str">
        <f>IF(A100&lt;&gt;"",IF($C$12="Quincenal",$G$9/2,$G$9),"")</f>
        <v/>
      </c>
      <c r="D100" s="4"/>
      <c r="E100" s="4" t="str">
        <f t="shared" si="6"/>
        <v/>
      </c>
      <c r="F100" s="4" t="str">
        <f t="shared" si="7"/>
        <v/>
      </c>
      <c r="G100" s="4" t="str">
        <f t="shared" si="8"/>
        <v/>
      </c>
      <c r="H100" s="7" t="str">
        <f t="shared" si="9"/>
        <v/>
      </c>
    </row>
    <row r="101" spans="1:8" x14ac:dyDescent="0.25">
      <c r="A101" s="5" t="str">
        <f t="shared" si="5"/>
        <v/>
      </c>
      <c r="B101" s="6" t="str">
        <f>IF(A101="","",IF($C$12="Quincenal",DATE(YEAR(BDAY),MONTH(BDAY)+(A101-1)/2+IF(AND(DAY(BDAY)&gt;=15,MOD(A101,2)=0),1,0),IF(MOD(A101,2)=0,IF(DAY(BDAY)&gt;=15,DAY(BDAY)-15,DAY(BDAY)+15),DAY(BDAY))),DATE(YEAR(BDAY),MONTH(BDAY)+(A101-1),DAY(BDAY))))</f>
        <v/>
      </c>
      <c r="C101" s="4" t="str">
        <f>IF(A101&lt;&gt;"",IF($C$12="Quincenal",$G$9/2,$G$9),"")</f>
        <v/>
      </c>
      <c r="D101" s="4"/>
      <c r="E101" s="4" t="str">
        <f t="shared" si="6"/>
        <v/>
      </c>
      <c r="F101" s="4" t="str">
        <f t="shared" si="7"/>
        <v/>
      </c>
      <c r="G101" s="4" t="str">
        <f t="shared" si="8"/>
        <v/>
      </c>
      <c r="H101" s="7" t="str">
        <f t="shared" si="9"/>
        <v/>
      </c>
    </row>
    <row r="102" spans="1:8" x14ac:dyDescent="0.25">
      <c r="A102" s="5" t="str">
        <f t="shared" si="5"/>
        <v/>
      </c>
      <c r="B102" s="6" t="str">
        <f>IF(A102="","",IF($C$12="Quincenal",DATE(YEAR(BDAY),MONTH(BDAY)+(A102-1)/2+IF(AND(DAY(BDAY)&gt;=15,MOD(A102,2)=0),1,0),IF(MOD(A102,2)=0,IF(DAY(BDAY)&gt;=15,DAY(BDAY)-15,DAY(BDAY)+15),DAY(BDAY))),DATE(YEAR(BDAY),MONTH(BDAY)+(A102-1),DAY(BDAY))))</f>
        <v/>
      </c>
      <c r="C102" s="4" t="str">
        <f>IF(A102&lt;&gt;"",IF($C$12="Quincenal",$G$9/2,$G$9),"")</f>
        <v/>
      </c>
      <c r="D102" s="4"/>
      <c r="E102" s="4" t="str">
        <f t="shared" si="6"/>
        <v/>
      </c>
      <c r="F102" s="4" t="str">
        <f t="shared" si="7"/>
        <v/>
      </c>
      <c r="G102" s="4" t="str">
        <f t="shared" si="8"/>
        <v/>
      </c>
      <c r="H102" s="7" t="str">
        <f t="shared" si="9"/>
        <v/>
      </c>
    </row>
    <row r="103" spans="1:8" x14ac:dyDescent="0.25">
      <c r="A103" s="5" t="str">
        <f t="shared" si="5"/>
        <v/>
      </c>
      <c r="B103" s="6" t="str">
        <f>IF(A103="","",IF($C$12="Quincenal",DATE(YEAR(BDAY),MONTH(BDAY)+(A103-1)/2+IF(AND(DAY(BDAY)&gt;=15,MOD(A103,2)=0),1,0),IF(MOD(A103,2)=0,IF(DAY(BDAY)&gt;=15,DAY(BDAY)-15,DAY(BDAY)+15),DAY(BDAY))),DATE(YEAR(BDAY),MONTH(BDAY)+(A103-1),DAY(BDAY))))</f>
        <v/>
      </c>
      <c r="C103" s="4" t="str">
        <f>IF(A103&lt;&gt;"",IF($C$12="Quincenal",$G$9/2,$G$9),"")</f>
        <v/>
      </c>
      <c r="D103" s="4"/>
      <c r="E103" s="4" t="str">
        <f t="shared" si="6"/>
        <v/>
      </c>
      <c r="F103" s="4" t="str">
        <f t="shared" si="7"/>
        <v/>
      </c>
      <c r="G103" s="4" t="str">
        <f t="shared" si="8"/>
        <v/>
      </c>
      <c r="H103" s="7" t="str">
        <f t="shared" si="9"/>
        <v/>
      </c>
    </row>
    <row r="104" spans="1:8" x14ac:dyDescent="0.25">
      <c r="A104" s="5" t="str">
        <f t="shared" si="5"/>
        <v/>
      </c>
      <c r="B104" s="6" t="str">
        <f>IF(A104="","",IF($C$12="Quincenal",DATE(YEAR(BDAY),MONTH(BDAY)+(A104-1)/2+IF(AND(DAY(BDAY)&gt;=15,MOD(A104,2)=0),1,0),IF(MOD(A104,2)=0,IF(DAY(BDAY)&gt;=15,DAY(BDAY)-15,DAY(BDAY)+15),DAY(BDAY))),DATE(YEAR(BDAY),MONTH(BDAY)+(A104-1),DAY(BDAY))))</f>
        <v/>
      </c>
      <c r="C104" s="4" t="str">
        <f>IF(A104&lt;&gt;"",IF($C$12="Quincenal",$G$9/2,$G$9),"")</f>
        <v/>
      </c>
      <c r="D104" s="4"/>
      <c r="E104" s="4" t="str">
        <f t="shared" si="6"/>
        <v/>
      </c>
      <c r="F104" s="4" t="str">
        <f t="shared" si="7"/>
        <v/>
      </c>
      <c r="G104" s="4" t="str">
        <f t="shared" si="8"/>
        <v/>
      </c>
      <c r="H104" s="7" t="str">
        <f t="shared" si="9"/>
        <v/>
      </c>
    </row>
    <row r="105" spans="1:8" x14ac:dyDescent="0.25">
      <c r="A105" s="5" t="str">
        <f t="shared" si="5"/>
        <v/>
      </c>
      <c r="B105" s="6" t="str">
        <f>IF(A105="","",IF($C$12="Quincenal",DATE(YEAR(BDAY),MONTH(BDAY)+(A105-1)/2+IF(AND(DAY(BDAY)&gt;=15,MOD(A105,2)=0),1,0),IF(MOD(A105,2)=0,IF(DAY(BDAY)&gt;=15,DAY(BDAY)-15,DAY(BDAY)+15),DAY(BDAY))),DATE(YEAR(BDAY),MONTH(BDAY)+(A105-1),DAY(BDAY))))</f>
        <v/>
      </c>
      <c r="C105" s="4" t="str">
        <f>IF(A105&lt;&gt;"",IF($C$12="Quincenal",$G$9/2,$G$9),"")</f>
        <v/>
      </c>
      <c r="D105" s="4"/>
      <c r="E105" s="4" t="str">
        <f t="shared" si="6"/>
        <v/>
      </c>
      <c r="F105" s="4" t="str">
        <f t="shared" si="7"/>
        <v/>
      </c>
      <c r="G105" s="4" t="str">
        <f t="shared" si="8"/>
        <v/>
      </c>
      <c r="H105" s="7" t="str">
        <f t="shared" si="9"/>
        <v/>
      </c>
    </row>
    <row r="106" spans="1:8" x14ac:dyDescent="0.25">
      <c r="A106" s="5" t="str">
        <f t="shared" si="5"/>
        <v/>
      </c>
      <c r="B106" s="6" t="str">
        <f>IF(A106="","",IF($C$12="Quincenal",DATE(YEAR(BDAY),MONTH(BDAY)+(A106-1)/2+IF(AND(DAY(BDAY)&gt;=15,MOD(A106,2)=0),1,0),IF(MOD(A106,2)=0,IF(DAY(BDAY)&gt;=15,DAY(BDAY)-15,DAY(BDAY)+15),DAY(BDAY))),DATE(YEAR(BDAY),MONTH(BDAY)+(A106-1),DAY(BDAY))))</f>
        <v/>
      </c>
      <c r="C106" s="4" t="str">
        <f>IF(A106&lt;&gt;"",IF($C$12="Quincenal",$G$9/2,$G$9),"")</f>
        <v/>
      </c>
      <c r="D106" s="4"/>
      <c r="E106" s="4" t="str">
        <f t="shared" si="6"/>
        <v/>
      </c>
      <c r="F106" s="4" t="str">
        <f t="shared" si="7"/>
        <v/>
      </c>
      <c r="G106" s="4" t="str">
        <f t="shared" si="8"/>
        <v/>
      </c>
      <c r="H106" s="7" t="str">
        <f t="shared" si="9"/>
        <v/>
      </c>
    </row>
    <row r="107" spans="1:8" x14ac:dyDescent="0.25">
      <c r="A107" s="5" t="str">
        <f t="shared" si="5"/>
        <v/>
      </c>
      <c r="B107" s="6" t="str">
        <f>IF(A107="","",IF($C$12="Quincenal",DATE(YEAR(BDAY),MONTH(BDAY)+(A107-1)/2+IF(AND(DAY(BDAY)&gt;=15,MOD(A107,2)=0),1,0),IF(MOD(A107,2)=0,IF(DAY(BDAY)&gt;=15,DAY(BDAY)-15,DAY(BDAY)+15),DAY(BDAY))),DATE(YEAR(BDAY),MONTH(BDAY)+(A107-1),DAY(BDAY))))</f>
        <v/>
      </c>
      <c r="C107" s="4" t="str">
        <f>IF(A107&lt;&gt;"",IF($C$12="Quincenal",$G$9/2,$G$9),"")</f>
        <v/>
      </c>
      <c r="D107" s="4"/>
      <c r="E107" s="4" t="str">
        <f t="shared" si="6"/>
        <v/>
      </c>
      <c r="F107" s="4" t="str">
        <f t="shared" si="7"/>
        <v/>
      </c>
      <c r="G107" s="4" t="str">
        <f t="shared" si="8"/>
        <v/>
      </c>
      <c r="H107" s="7" t="str">
        <f t="shared" si="9"/>
        <v/>
      </c>
    </row>
    <row r="108" spans="1:8" x14ac:dyDescent="0.25">
      <c r="A108" s="5" t="str">
        <f t="shared" si="5"/>
        <v/>
      </c>
      <c r="B108" s="6" t="str">
        <f>IF(A108="","",IF($C$12="Quincenal",DATE(YEAR(BDAY),MONTH(BDAY)+(A108-1)/2+IF(AND(DAY(BDAY)&gt;=15,MOD(A108,2)=0),1,0),IF(MOD(A108,2)=0,IF(DAY(BDAY)&gt;=15,DAY(BDAY)-15,DAY(BDAY)+15),DAY(BDAY))),DATE(YEAR(BDAY),MONTH(BDAY)+(A108-1),DAY(BDAY))))</f>
        <v/>
      </c>
      <c r="C108" s="4" t="str">
        <f>IF(A108&lt;&gt;"",IF($C$12="Quincenal",$G$9/2,$G$9),"")</f>
        <v/>
      </c>
      <c r="D108" s="4"/>
      <c r="E108" s="4" t="str">
        <f t="shared" si="6"/>
        <v/>
      </c>
      <c r="F108" s="4" t="str">
        <f t="shared" si="7"/>
        <v/>
      </c>
      <c r="G108" s="4" t="str">
        <f t="shared" si="8"/>
        <v/>
      </c>
      <c r="H108" s="7" t="str">
        <f t="shared" si="9"/>
        <v/>
      </c>
    </row>
    <row r="109" spans="1:8" x14ac:dyDescent="0.25">
      <c r="A109" s="5" t="str">
        <f t="shared" si="5"/>
        <v/>
      </c>
      <c r="B109" s="6" t="str">
        <f>IF(A109="","",IF($C$12="Quincenal",DATE(YEAR(BDAY),MONTH(BDAY)+(A109-1)/2+IF(AND(DAY(BDAY)&gt;=15,MOD(A109,2)=0),1,0),IF(MOD(A109,2)=0,IF(DAY(BDAY)&gt;=15,DAY(BDAY)-15,DAY(BDAY)+15),DAY(BDAY))),DATE(YEAR(BDAY),MONTH(BDAY)+(A109-1),DAY(BDAY))))</f>
        <v/>
      </c>
      <c r="C109" s="4" t="str">
        <f>IF(A109&lt;&gt;"",IF($C$12="Quincenal",$G$9/2,$G$9),"")</f>
        <v/>
      </c>
      <c r="D109" s="4"/>
      <c r="E109" s="4" t="str">
        <f t="shared" si="6"/>
        <v/>
      </c>
      <c r="F109" s="4" t="str">
        <f t="shared" si="7"/>
        <v/>
      </c>
      <c r="G109" s="4" t="str">
        <f t="shared" si="8"/>
        <v/>
      </c>
      <c r="H109" s="7" t="str">
        <f t="shared" si="9"/>
        <v/>
      </c>
    </row>
    <row r="110" spans="1:8" x14ac:dyDescent="0.25">
      <c r="A110" s="5" t="str">
        <f t="shared" si="5"/>
        <v/>
      </c>
      <c r="B110" s="6" t="str">
        <f>IF(A110="","",IF($C$12="Quincenal",DATE(YEAR(BDAY),MONTH(BDAY)+(A110-1)/2+IF(AND(DAY(BDAY)&gt;=15,MOD(A110,2)=0),1,0),IF(MOD(A110,2)=0,IF(DAY(BDAY)&gt;=15,DAY(BDAY)-15,DAY(BDAY)+15),DAY(BDAY))),DATE(YEAR(BDAY),MONTH(BDAY)+(A110-1),DAY(BDAY))))</f>
        <v/>
      </c>
      <c r="C110" s="4" t="str">
        <f>IF(A110&lt;&gt;"",IF($C$12="Quincenal",$G$9/2,$G$9),"")</f>
        <v/>
      </c>
      <c r="D110" s="4"/>
      <c r="E110" s="4" t="str">
        <f t="shared" si="6"/>
        <v/>
      </c>
      <c r="F110" s="4" t="str">
        <f t="shared" si="7"/>
        <v/>
      </c>
      <c r="G110" s="4" t="str">
        <f t="shared" si="8"/>
        <v/>
      </c>
      <c r="H110" s="7" t="str">
        <f t="shared" si="9"/>
        <v/>
      </c>
    </row>
    <row r="111" spans="1:8" x14ac:dyDescent="0.25">
      <c r="A111" s="5" t="str">
        <f t="shared" si="5"/>
        <v/>
      </c>
      <c r="B111" s="6" t="str">
        <f>IF(A111="","",IF($C$12="Quincenal",DATE(YEAR(BDAY),MONTH(BDAY)+(A111-1)/2+IF(AND(DAY(BDAY)&gt;=15,MOD(A111,2)=0),1,0),IF(MOD(A111,2)=0,IF(DAY(BDAY)&gt;=15,DAY(BDAY)-15,DAY(BDAY)+15),DAY(BDAY))),DATE(YEAR(BDAY),MONTH(BDAY)+(A111-1),DAY(BDAY))))</f>
        <v/>
      </c>
      <c r="C111" s="4" t="str">
        <f>IF(A111&lt;&gt;"",IF($C$12="Quincenal",$G$9/2,$G$9),"")</f>
        <v/>
      </c>
      <c r="D111" s="4"/>
      <c r="E111" s="4" t="str">
        <f t="shared" si="6"/>
        <v/>
      </c>
      <c r="F111" s="4" t="str">
        <f t="shared" si="7"/>
        <v/>
      </c>
      <c r="G111" s="4" t="str">
        <f t="shared" si="8"/>
        <v/>
      </c>
      <c r="H111" s="7" t="str">
        <f t="shared" si="9"/>
        <v/>
      </c>
    </row>
    <row r="112" spans="1:8" x14ac:dyDescent="0.25">
      <c r="A112" s="5" t="str">
        <f t="shared" si="5"/>
        <v/>
      </c>
      <c r="B112" s="6" t="str">
        <f>IF(A112="","",IF($C$12="Quincenal",DATE(YEAR(BDAY),MONTH(BDAY)+(A112-1)/2+IF(AND(DAY(BDAY)&gt;=15,MOD(A112,2)=0),1,0),IF(MOD(A112,2)=0,IF(DAY(BDAY)&gt;=15,DAY(BDAY)-15,DAY(BDAY)+15),DAY(BDAY))),DATE(YEAR(BDAY),MONTH(BDAY)+(A112-1),DAY(BDAY))))</f>
        <v/>
      </c>
      <c r="C112" s="4" t="str">
        <f>IF(A112&lt;&gt;"",IF($C$12="Quincenal",$G$9/2,$G$9),"")</f>
        <v/>
      </c>
      <c r="D112" s="4"/>
      <c r="E112" s="4" t="str">
        <f t="shared" si="6"/>
        <v/>
      </c>
      <c r="F112" s="4" t="str">
        <f t="shared" si="7"/>
        <v/>
      </c>
      <c r="G112" s="4" t="str">
        <f t="shared" si="8"/>
        <v/>
      </c>
      <c r="H112" s="7" t="str">
        <f t="shared" si="9"/>
        <v/>
      </c>
    </row>
    <row r="113" spans="1:8" x14ac:dyDescent="0.25">
      <c r="A113" s="5" t="str">
        <f t="shared" si="5"/>
        <v/>
      </c>
      <c r="B113" s="6" t="str">
        <f>IF(A113="","",IF($C$12="Quincenal",DATE(YEAR(BDAY),MONTH(BDAY)+(A113-1)/2+IF(AND(DAY(BDAY)&gt;=15,MOD(A113,2)=0),1,0),IF(MOD(A113,2)=0,IF(DAY(BDAY)&gt;=15,DAY(BDAY)-15,DAY(BDAY)+15),DAY(BDAY))),DATE(YEAR(BDAY),MONTH(BDAY)+(A113-1),DAY(BDAY))))</f>
        <v/>
      </c>
      <c r="C113" s="4" t="str">
        <f>IF(A113&lt;&gt;"",IF($C$12="Quincenal",$G$9/2,$G$9),"")</f>
        <v/>
      </c>
      <c r="D113" s="4"/>
      <c r="E113" s="4" t="str">
        <f t="shared" si="6"/>
        <v/>
      </c>
      <c r="F113" s="4" t="str">
        <f t="shared" si="7"/>
        <v/>
      </c>
      <c r="G113" s="4" t="str">
        <f t="shared" si="8"/>
        <v/>
      </c>
      <c r="H113" s="7" t="str">
        <f t="shared" si="9"/>
        <v/>
      </c>
    </row>
    <row r="114" spans="1:8" x14ac:dyDescent="0.25">
      <c r="A114" s="5" t="str">
        <f t="shared" si="5"/>
        <v/>
      </c>
      <c r="B114" s="6" t="str">
        <f>IF(A114="","",IF($C$12="Quincenal",DATE(YEAR(BDAY),MONTH(BDAY)+(A114-1)/2+IF(AND(DAY(BDAY)&gt;=15,MOD(A114,2)=0),1,0),IF(MOD(A114,2)=0,IF(DAY(BDAY)&gt;=15,DAY(BDAY)-15,DAY(BDAY)+15),DAY(BDAY))),DATE(YEAR(BDAY),MONTH(BDAY)+(A114-1),DAY(BDAY))))</f>
        <v/>
      </c>
      <c r="C114" s="4" t="str">
        <f>IF(A114&lt;&gt;"",IF($C$12="Quincenal",$G$9/2,$G$9),"")</f>
        <v/>
      </c>
      <c r="D114" s="4"/>
      <c r="E114" s="4" t="str">
        <f t="shared" si="6"/>
        <v/>
      </c>
      <c r="F114" s="4" t="str">
        <f t="shared" si="7"/>
        <v/>
      </c>
      <c r="G114" s="4" t="str">
        <f t="shared" si="8"/>
        <v/>
      </c>
      <c r="H114" s="7" t="str">
        <f t="shared" si="9"/>
        <v/>
      </c>
    </row>
    <row r="115" spans="1:8" x14ac:dyDescent="0.25">
      <c r="A115" s="5" t="str">
        <f t="shared" si="5"/>
        <v/>
      </c>
      <c r="B115" s="6" t="str">
        <f>IF(A115="","",IF($C$12="Quincenal",DATE(YEAR(BDAY),MONTH(BDAY)+(A115-1)/2+IF(AND(DAY(BDAY)&gt;=15,MOD(A115,2)=0),1,0),IF(MOD(A115,2)=0,IF(DAY(BDAY)&gt;=15,DAY(BDAY)-15,DAY(BDAY)+15),DAY(BDAY))),DATE(YEAR(BDAY),MONTH(BDAY)+(A115-1),DAY(BDAY))))</f>
        <v/>
      </c>
      <c r="C115" s="4" t="str">
        <f>IF(A115&lt;&gt;"",IF($C$12="Quincenal",$G$9/2,$G$9),"")</f>
        <v/>
      </c>
      <c r="D115" s="4"/>
      <c r="E115" s="4" t="str">
        <f t="shared" si="6"/>
        <v/>
      </c>
      <c r="F115" s="4" t="str">
        <f t="shared" si="7"/>
        <v/>
      </c>
      <c r="G115" s="4" t="str">
        <f t="shared" si="8"/>
        <v/>
      </c>
      <c r="H115" s="7" t="str">
        <f t="shared" si="9"/>
        <v/>
      </c>
    </row>
    <row r="116" spans="1:8" x14ac:dyDescent="0.25">
      <c r="A116" s="5" t="str">
        <f t="shared" si="5"/>
        <v/>
      </c>
      <c r="B116" s="6" t="str">
        <f>IF(A116="","",IF($C$12="Quincenal",DATE(YEAR(BDAY),MONTH(BDAY)+(A116-1)/2+IF(AND(DAY(BDAY)&gt;=15,MOD(A116,2)=0),1,0),IF(MOD(A116,2)=0,IF(DAY(BDAY)&gt;=15,DAY(BDAY)-15,DAY(BDAY)+15),DAY(BDAY))),DATE(YEAR(BDAY),MONTH(BDAY)+(A116-1),DAY(BDAY))))</f>
        <v/>
      </c>
      <c r="C116" s="4" t="str">
        <f>IF(A116&lt;&gt;"",IF($C$12="Quincenal",$G$9/2,$G$9),"")</f>
        <v/>
      </c>
      <c r="D116" s="4"/>
      <c r="E116" s="4" t="str">
        <f t="shared" si="6"/>
        <v/>
      </c>
      <c r="F116" s="4" t="str">
        <f t="shared" si="7"/>
        <v/>
      </c>
      <c r="G116" s="4" t="str">
        <f t="shared" si="8"/>
        <v/>
      </c>
      <c r="H116" s="7" t="str">
        <f t="shared" si="9"/>
        <v/>
      </c>
    </row>
    <row r="117" spans="1:8" x14ac:dyDescent="0.25">
      <c r="A117" s="5" t="str">
        <f t="shared" si="5"/>
        <v/>
      </c>
      <c r="B117" s="6" t="str">
        <f>IF(A117="","",IF($C$12="Quincenal",DATE(YEAR(BDAY),MONTH(BDAY)+(A117-1)/2+IF(AND(DAY(BDAY)&gt;=15,MOD(A117,2)=0),1,0),IF(MOD(A117,2)=0,IF(DAY(BDAY)&gt;=15,DAY(BDAY)-15,DAY(BDAY)+15),DAY(BDAY))),DATE(YEAR(BDAY),MONTH(BDAY)+(A117-1),DAY(BDAY))))</f>
        <v/>
      </c>
      <c r="C117" s="4" t="str">
        <f>IF(A117&lt;&gt;"",IF($C$12="Quincenal",$G$9/2,$G$9),"")</f>
        <v/>
      </c>
      <c r="D117" s="4"/>
      <c r="E117" s="4" t="str">
        <f t="shared" si="6"/>
        <v/>
      </c>
      <c r="F117" s="4" t="str">
        <f t="shared" si="7"/>
        <v/>
      </c>
      <c r="G117" s="4" t="str">
        <f t="shared" si="8"/>
        <v/>
      </c>
      <c r="H117" s="7" t="str">
        <f t="shared" si="9"/>
        <v/>
      </c>
    </row>
    <row r="118" spans="1:8" x14ac:dyDescent="0.25">
      <c r="A118" s="5" t="str">
        <f t="shared" si="5"/>
        <v/>
      </c>
      <c r="B118" s="6" t="str">
        <f>IF(A118="","",IF($C$12="Quincenal",DATE(YEAR(BDAY),MONTH(BDAY)+(A118-1)/2+IF(AND(DAY(BDAY)&gt;=15,MOD(A118,2)=0),1,0),IF(MOD(A118,2)=0,IF(DAY(BDAY)&gt;=15,DAY(BDAY)-15,DAY(BDAY)+15),DAY(BDAY))),DATE(YEAR(BDAY),MONTH(BDAY)+(A118-1),DAY(BDAY))))</f>
        <v/>
      </c>
      <c r="C118" s="4" t="str">
        <f>IF(A118&lt;&gt;"",IF($C$12="Quincenal",$G$9/2,$G$9),"")</f>
        <v/>
      </c>
      <c r="D118" s="4"/>
      <c r="E118" s="4" t="str">
        <f t="shared" si="6"/>
        <v/>
      </c>
      <c r="F118" s="4" t="str">
        <f t="shared" si="7"/>
        <v/>
      </c>
      <c r="G118" s="4" t="str">
        <f t="shared" si="8"/>
        <v/>
      </c>
      <c r="H118" s="7" t="str">
        <f t="shared" si="9"/>
        <v/>
      </c>
    </row>
    <row r="119" spans="1:8" x14ac:dyDescent="0.25">
      <c r="A119" s="5" t="str">
        <f t="shared" si="5"/>
        <v/>
      </c>
      <c r="B119" s="6" t="str">
        <f>IF(A119="","",IF($C$12="Quincenal",DATE(YEAR(BDAY),MONTH(BDAY)+(A119-1)/2+IF(AND(DAY(BDAY)&gt;=15,MOD(A119,2)=0),1,0),IF(MOD(A119,2)=0,IF(DAY(BDAY)&gt;=15,DAY(BDAY)-15,DAY(BDAY)+15),DAY(BDAY))),DATE(YEAR(BDAY),MONTH(BDAY)+(A119-1),DAY(BDAY))))</f>
        <v/>
      </c>
      <c r="C119" s="4" t="str">
        <f>IF(A119&lt;&gt;"",IF($C$12="Quincenal",$G$9/2,$G$9),"")</f>
        <v/>
      </c>
      <c r="D119" s="4"/>
      <c r="E119" s="4" t="str">
        <f t="shared" si="6"/>
        <v/>
      </c>
      <c r="F119" s="4" t="str">
        <f t="shared" si="7"/>
        <v/>
      </c>
      <c r="G119" s="4" t="str">
        <f t="shared" si="8"/>
        <v/>
      </c>
      <c r="H119" s="7" t="str">
        <f t="shared" si="9"/>
        <v/>
      </c>
    </row>
    <row r="120" spans="1:8" x14ac:dyDescent="0.25">
      <c r="A120" s="5" t="str">
        <f t="shared" si="5"/>
        <v/>
      </c>
      <c r="B120" s="6" t="str">
        <f>IF(A120="","",IF($C$12="Quincenal",DATE(YEAR(BDAY),MONTH(BDAY)+(A120-1)/2+IF(AND(DAY(BDAY)&gt;=15,MOD(A120,2)=0),1,0),IF(MOD(A120,2)=0,IF(DAY(BDAY)&gt;=15,DAY(BDAY)-15,DAY(BDAY)+15),DAY(BDAY))),DATE(YEAR(BDAY),MONTH(BDAY)+(A120-1),DAY(BDAY))))</f>
        <v/>
      </c>
      <c r="C120" s="4" t="str">
        <f>IF(A120&lt;&gt;"",IF($C$12="Quincenal",$G$9/2,$G$9),"")</f>
        <v/>
      </c>
      <c r="D120" s="4"/>
      <c r="E120" s="4" t="str">
        <f t="shared" si="6"/>
        <v/>
      </c>
      <c r="F120" s="4" t="str">
        <f t="shared" si="7"/>
        <v/>
      </c>
      <c r="G120" s="4" t="str">
        <f t="shared" si="8"/>
        <v/>
      </c>
      <c r="H120" s="7" t="str">
        <f t="shared" si="9"/>
        <v/>
      </c>
    </row>
    <row r="121" spans="1:8" x14ac:dyDescent="0.25">
      <c r="A121" s="5" t="str">
        <f t="shared" si="5"/>
        <v/>
      </c>
      <c r="B121" s="6" t="str">
        <f>IF(A121="","",IF($C$12="Quincenal",DATE(YEAR(BDAY),MONTH(BDAY)+(A121-1)/2+IF(AND(DAY(BDAY)&gt;=15,MOD(A121,2)=0),1,0),IF(MOD(A121,2)=0,IF(DAY(BDAY)&gt;=15,DAY(BDAY)-15,DAY(BDAY)+15),DAY(BDAY))),DATE(YEAR(BDAY),MONTH(BDAY)+(A121-1),DAY(BDAY))))</f>
        <v/>
      </c>
      <c r="C121" s="4" t="str">
        <f>IF(A121&lt;&gt;"",IF($C$12="Quincenal",$G$9/2,$G$9),"")</f>
        <v/>
      </c>
      <c r="D121" s="4"/>
      <c r="E121" s="4" t="str">
        <f t="shared" si="6"/>
        <v/>
      </c>
      <c r="F121" s="4" t="str">
        <f t="shared" si="7"/>
        <v/>
      </c>
      <c r="G121" s="4" t="str">
        <f t="shared" si="8"/>
        <v/>
      </c>
      <c r="H121" s="7" t="str">
        <f t="shared" si="9"/>
        <v/>
      </c>
    </row>
    <row r="122" spans="1:8" x14ac:dyDescent="0.25">
      <c r="A122" s="5" t="str">
        <f t="shared" si="5"/>
        <v/>
      </c>
      <c r="B122" s="6" t="str">
        <f>IF(A122="","",IF($C$12="Quincenal",DATE(YEAR(BDAY),MONTH(BDAY)+(A122-1)/2+IF(AND(DAY(BDAY)&gt;=15,MOD(A122,2)=0),1,0),IF(MOD(A122,2)=0,IF(DAY(BDAY)&gt;=15,DAY(BDAY)-15,DAY(BDAY)+15),DAY(BDAY))),DATE(YEAR(BDAY),MONTH(BDAY)+(A122-1),DAY(BDAY))))</f>
        <v/>
      </c>
      <c r="C122" s="4" t="str">
        <f>IF(A122&lt;&gt;"",IF($C$12="Quincenal",$G$9/2,$G$9),"")</f>
        <v/>
      </c>
      <c r="D122" s="4"/>
      <c r="E122" s="4" t="str">
        <f t="shared" si="6"/>
        <v/>
      </c>
      <c r="F122" s="4" t="str">
        <f t="shared" si="7"/>
        <v/>
      </c>
      <c r="G122" s="4" t="str">
        <f t="shared" si="8"/>
        <v/>
      </c>
      <c r="H122" s="7" t="str">
        <f t="shared" si="9"/>
        <v/>
      </c>
    </row>
    <row r="123" spans="1:8" x14ac:dyDescent="0.25">
      <c r="A123" s="5" t="str">
        <f t="shared" si="5"/>
        <v/>
      </c>
      <c r="B123" s="6" t="str">
        <f>IF(A123="","",IF($C$12="Quincenal",DATE(YEAR(BDAY),MONTH(BDAY)+(A123-1)/2+IF(AND(DAY(BDAY)&gt;=15,MOD(A123,2)=0),1,0),IF(MOD(A123,2)=0,IF(DAY(BDAY)&gt;=15,DAY(BDAY)-15,DAY(BDAY)+15),DAY(BDAY))),DATE(YEAR(BDAY),MONTH(BDAY)+(A123-1),DAY(BDAY))))</f>
        <v/>
      </c>
      <c r="C123" s="4" t="str">
        <f>IF(A123&lt;&gt;"",IF($C$12="Quincenal",$G$9/2,$G$9),"")</f>
        <v/>
      </c>
      <c r="D123" s="4"/>
      <c r="E123" s="4" t="str">
        <f t="shared" si="6"/>
        <v/>
      </c>
      <c r="F123" s="4" t="str">
        <f t="shared" si="7"/>
        <v/>
      </c>
      <c r="G123" s="4" t="str">
        <f t="shared" si="8"/>
        <v/>
      </c>
      <c r="H123" s="7" t="str">
        <f t="shared" si="9"/>
        <v/>
      </c>
    </row>
    <row r="124" spans="1:8" x14ac:dyDescent="0.25">
      <c r="A124" s="5" t="str">
        <f t="shared" si="5"/>
        <v/>
      </c>
      <c r="B124" s="6" t="str">
        <f>IF(A124="","",IF($C$12="Quincenal",DATE(YEAR(BDAY),MONTH(BDAY)+(A124-1)/2+IF(AND(DAY(BDAY)&gt;=15,MOD(A124,2)=0),1,0),IF(MOD(A124,2)=0,IF(DAY(BDAY)&gt;=15,DAY(BDAY)-15,DAY(BDAY)+15),DAY(BDAY))),DATE(YEAR(BDAY),MONTH(BDAY)+(A124-1),DAY(BDAY))))</f>
        <v/>
      </c>
      <c r="C124" s="4" t="str">
        <f>IF(A124&lt;&gt;"",IF($C$12="Quincenal",$G$9/2,$G$9),"")</f>
        <v/>
      </c>
      <c r="D124" s="4"/>
      <c r="E124" s="4" t="str">
        <f t="shared" si="6"/>
        <v/>
      </c>
      <c r="F124" s="4" t="str">
        <f t="shared" si="7"/>
        <v/>
      </c>
      <c r="G124" s="4" t="str">
        <f t="shared" si="8"/>
        <v/>
      </c>
      <c r="H124" s="7" t="str">
        <f t="shared" si="9"/>
        <v/>
      </c>
    </row>
    <row r="125" spans="1:8" x14ac:dyDescent="0.25">
      <c r="A125" s="5" t="str">
        <f t="shared" si="5"/>
        <v/>
      </c>
      <c r="B125" s="6" t="str">
        <f>IF(A125="","",IF($C$12="Quincenal",DATE(YEAR(BDAY),MONTH(BDAY)+(A125-1)/2+IF(AND(DAY(BDAY)&gt;=15,MOD(A125,2)=0),1,0),IF(MOD(A125,2)=0,IF(DAY(BDAY)&gt;=15,DAY(BDAY)-15,DAY(BDAY)+15),DAY(BDAY))),DATE(YEAR(BDAY),MONTH(BDAY)+(A125-1),DAY(BDAY))))</f>
        <v/>
      </c>
      <c r="C125" s="4" t="str">
        <f>IF(A125&lt;&gt;"",IF($C$12="Quincenal",$G$9/2,$G$9),"")</f>
        <v/>
      </c>
      <c r="D125" s="4"/>
      <c r="E125" s="4" t="str">
        <f t="shared" si="6"/>
        <v/>
      </c>
      <c r="F125" s="4" t="str">
        <f t="shared" si="7"/>
        <v/>
      </c>
      <c r="G125" s="4" t="str">
        <f t="shared" si="8"/>
        <v/>
      </c>
      <c r="H125" s="7" t="str">
        <f t="shared" si="9"/>
        <v/>
      </c>
    </row>
    <row r="126" spans="1:8" x14ac:dyDescent="0.25">
      <c r="A126" s="5" t="str">
        <f t="shared" si="5"/>
        <v/>
      </c>
      <c r="B126" s="6" t="str">
        <f>IF(A126="","",IF($C$12="Quincenal",DATE(YEAR(BDAY),MONTH(BDAY)+(A126-1)/2+IF(AND(DAY(BDAY)&gt;=15,MOD(A126,2)=0),1,0),IF(MOD(A126,2)=0,IF(DAY(BDAY)&gt;=15,DAY(BDAY)-15,DAY(BDAY)+15),DAY(BDAY))),DATE(YEAR(BDAY),MONTH(BDAY)+(A126-1),DAY(BDAY))))</f>
        <v/>
      </c>
      <c r="C126" s="4" t="str">
        <f>IF(A126&lt;&gt;"",IF($C$12="Quincenal",$G$9/2,$G$9),"")</f>
        <v/>
      </c>
      <c r="D126" s="4"/>
      <c r="E126" s="4" t="str">
        <f t="shared" si="6"/>
        <v/>
      </c>
      <c r="F126" s="4" t="str">
        <f t="shared" si="7"/>
        <v/>
      </c>
      <c r="G126" s="4" t="str">
        <f t="shared" si="8"/>
        <v/>
      </c>
      <c r="H126" s="7" t="str">
        <f t="shared" si="9"/>
        <v/>
      </c>
    </row>
    <row r="127" spans="1:8" x14ac:dyDescent="0.25">
      <c r="A127" s="5" t="str">
        <f t="shared" si="5"/>
        <v/>
      </c>
      <c r="B127" s="6" t="str">
        <f>IF(A127="","",IF($C$12="Quincenal",DATE(YEAR(BDAY),MONTH(BDAY)+(A127-1)/2+IF(AND(DAY(BDAY)&gt;=15,MOD(A127,2)=0),1,0),IF(MOD(A127,2)=0,IF(DAY(BDAY)&gt;=15,DAY(BDAY)-15,DAY(BDAY)+15),DAY(BDAY))),DATE(YEAR(BDAY),MONTH(BDAY)+(A127-1),DAY(BDAY))))</f>
        <v/>
      </c>
      <c r="C127" s="4" t="str">
        <f>IF(A127&lt;&gt;"",IF($C$12="Quincenal",$G$9/2,$G$9),"")</f>
        <v/>
      </c>
      <c r="D127" s="4"/>
      <c r="E127" s="4" t="str">
        <f t="shared" si="6"/>
        <v/>
      </c>
      <c r="F127" s="4" t="str">
        <f t="shared" si="7"/>
        <v/>
      </c>
      <c r="G127" s="4" t="str">
        <f t="shared" si="8"/>
        <v/>
      </c>
      <c r="H127" s="7" t="str">
        <f t="shared" si="9"/>
        <v/>
      </c>
    </row>
    <row r="128" spans="1:8" x14ac:dyDescent="0.25">
      <c r="A128" s="5" t="str">
        <f t="shared" si="5"/>
        <v/>
      </c>
      <c r="B128" s="6" t="str">
        <f>IF(A128="","",IF($C$12="Quincenal",DATE(YEAR(BDAY),MONTH(BDAY)+(A128-1)/2+IF(AND(DAY(BDAY)&gt;=15,MOD(A128,2)=0),1,0),IF(MOD(A128,2)=0,IF(DAY(BDAY)&gt;=15,DAY(BDAY)-15,DAY(BDAY)+15),DAY(BDAY))),DATE(YEAR(BDAY),MONTH(BDAY)+(A128-1),DAY(BDAY))))</f>
        <v/>
      </c>
      <c r="C128" s="4" t="str">
        <f>IF(A128&lt;&gt;"",IF($C$12="Quincenal",$G$9/2,$G$9),"")</f>
        <v/>
      </c>
      <c r="D128" s="4"/>
      <c r="E128" s="4" t="str">
        <f t="shared" si="6"/>
        <v/>
      </c>
      <c r="F128" s="4" t="str">
        <f t="shared" si="7"/>
        <v/>
      </c>
      <c r="G128" s="4" t="str">
        <f t="shared" si="8"/>
        <v/>
      </c>
      <c r="H128" s="7" t="str">
        <f t="shared" si="9"/>
        <v/>
      </c>
    </row>
    <row r="129" spans="1:8" x14ac:dyDescent="0.25">
      <c r="A129" s="5" t="str">
        <f t="shared" si="5"/>
        <v/>
      </c>
      <c r="B129" s="6" t="str">
        <f>IF(A129="","",IF($C$12="Quincenal",DATE(YEAR(BDAY),MONTH(BDAY)+(A129-1)/2+IF(AND(DAY(BDAY)&gt;=15,MOD(A129,2)=0),1,0),IF(MOD(A129,2)=0,IF(DAY(BDAY)&gt;=15,DAY(BDAY)-15,DAY(BDAY)+15),DAY(BDAY))),DATE(YEAR(BDAY),MONTH(BDAY)+(A129-1),DAY(BDAY))))</f>
        <v/>
      </c>
      <c r="C129" s="4" t="str">
        <f>IF(A129&lt;&gt;"",IF($C$12="Quincenal",$G$9/2,$G$9),"")</f>
        <v/>
      </c>
      <c r="D129" s="4"/>
      <c r="E129" s="4" t="str">
        <f t="shared" si="6"/>
        <v/>
      </c>
      <c r="F129" s="4" t="str">
        <f t="shared" si="7"/>
        <v/>
      </c>
      <c r="G129" s="4" t="str">
        <f t="shared" si="8"/>
        <v/>
      </c>
      <c r="H129" s="7" t="str">
        <f t="shared" si="9"/>
        <v/>
      </c>
    </row>
    <row r="130" spans="1:8" x14ac:dyDescent="0.25">
      <c r="A130" s="5" t="str">
        <f t="shared" si="5"/>
        <v/>
      </c>
      <c r="B130" s="6" t="str">
        <f>IF(A130="","",IF($C$12="Quincenal",DATE(YEAR(BDAY),MONTH(BDAY)+(A130-1)/2+IF(AND(DAY(BDAY)&gt;=15,MOD(A130,2)=0),1,0),IF(MOD(A130,2)=0,IF(DAY(BDAY)&gt;=15,DAY(BDAY)-15,DAY(BDAY)+15),DAY(BDAY))),DATE(YEAR(BDAY),MONTH(BDAY)+(A130-1),DAY(BDAY))))</f>
        <v/>
      </c>
      <c r="C130" s="4" t="str">
        <f>IF(A130&lt;&gt;"",IF($C$12="Quincenal",$G$9/2,$G$9),"")</f>
        <v/>
      </c>
      <c r="D130" s="4"/>
      <c r="E130" s="4" t="str">
        <f t="shared" si="6"/>
        <v/>
      </c>
      <c r="F130" s="4" t="str">
        <f t="shared" si="7"/>
        <v/>
      </c>
      <c r="G130" s="4" t="str">
        <f t="shared" si="8"/>
        <v/>
      </c>
      <c r="H130" s="7" t="str">
        <f t="shared" si="9"/>
        <v/>
      </c>
    </row>
    <row r="131" spans="1:8" x14ac:dyDescent="0.25">
      <c r="A131" s="5" t="str">
        <f t="shared" si="5"/>
        <v/>
      </c>
      <c r="B131" s="6" t="str">
        <f>IF(A131="","",IF($C$12="Quincenal",DATE(YEAR(BDAY),MONTH(BDAY)+(A131-1)/2+IF(AND(DAY(BDAY)&gt;=15,MOD(A131,2)=0),1,0),IF(MOD(A131,2)=0,IF(DAY(BDAY)&gt;=15,DAY(BDAY)-15,DAY(BDAY)+15),DAY(BDAY))),DATE(YEAR(BDAY),MONTH(BDAY)+(A131-1),DAY(BDAY))))</f>
        <v/>
      </c>
      <c r="C131" s="4" t="str">
        <f>IF(A131&lt;&gt;"",IF($C$12="Quincenal",$G$9/2,$G$9),"")</f>
        <v/>
      </c>
      <c r="D131" s="4"/>
      <c r="E131" s="4" t="str">
        <f t="shared" si="6"/>
        <v/>
      </c>
      <c r="F131" s="4" t="str">
        <f t="shared" si="7"/>
        <v/>
      </c>
      <c r="G131" s="4" t="str">
        <f t="shared" si="8"/>
        <v/>
      </c>
      <c r="H131" s="7" t="str">
        <f t="shared" si="9"/>
        <v/>
      </c>
    </row>
    <row r="132" spans="1:8" x14ac:dyDescent="0.25">
      <c r="A132" s="5" t="str">
        <f t="shared" si="5"/>
        <v/>
      </c>
      <c r="B132" s="6" t="str">
        <f>IF(A132="","",IF($C$12="Quincenal",DATE(YEAR(BDAY),MONTH(BDAY)+(A132-1)/2+IF(AND(DAY(BDAY)&gt;=15,MOD(A132,2)=0),1,0),IF(MOD(A132,2)=0,IF(DAY(BDAY)&gt;=15,DAY(BDAY)-15,DAY(BDAY)+15),DAY(BDAY))),DATE(YEAR(BDAY),MONTH(BDAY)+(A132-1),DAY(BDAY))))</f>
        <v/>
      </c>
      <c r="C132" s="4" t="str">
        <f>IF(A132&lt;&gt;"",IF($C$12="Quincenal",$G$9/2,$G$9),"")</f>
        <v/>
      </c>
      <c r="D132" s="4"/>
      <c r="E132" s="4" t="str">
        <f t="shared" si="6"/>
        <v/>
      </c>
      <c r="F132" s="4" t="str">
        <f t="shared" si="7"/>
        <v/>
      </c>
      <c r="G132" s="4" t="str">
        <f t="shared" si="8"/>
        <v/>
      </c>
      <c r="H132" s="7" t="str">
        <f t="shared" si="9"/>
        <v/>
      </c>
    </row>
    <row r="133" spans="1:8" x14ac:dyDescent="0.25">
      <c r="A133" s="5" t="str">
        <f t="shared" si="5"/>
        <v/>
      </c>
      <c r="B133" s="6" t="str">
        <f>IF(A133="","",IF($C$12="Quincenal",DATE(YEAR(BDAY),MONTH(BDAY)+(A133-1)/2+IF(AND(DAY(BDAY)&gt;=15,MOD(A133,2)=0),1,0),IF(MOD(A133,2)=0,IF(DAY(BDAY)&gt;=15,DAY(BDAY)-15,DAY(BDAY)+15),DAY(BDAY))),DATE(YEAR(BDAY),MONTH(BDAY)+(A133-1),DAY(BDAY))))</f>
        <v/>
      </c>
      <c r="C133" s="4" t="str">
        <f>IF(A133&lt;&gt;"",IF($C$12="Quincenal",$G$9/2,$G$9),"")</f>
        <v/>
      </c>
      <c r="D133" s="4"/>
      <c r="E133" s="4" t="str">
        <f t="shared" si="6"/>
        <v/>
      </c>
      <c r="F133" s="4" t="str">
        <f t="shared" si="7"/>
        <v/>
      </c>
      <c r="G133" s="4" t="str">
        <f t="shared" si="8"/>
        <v/>
      </c>
      <c r="H133" s="7" t="str">
        <f t="shared" si="9"/>
        <v/>
      </c>
    </row>
    <row r="134" spans="1:8" x14ac:dyDescent="0.25">
      <c r="A134" s="5" t="str">
        <f t="shared" si="5"/>
        <v/>
      </c>
      <c r="B134" s="6" t="str">
        <f>IF(A134="","",IF($C$12="Quincenal",DATE(YEAR(BDAY),MONTH(BDAY)+(A134-1)/2+IF(AND(DAY(BDAY)&gt;=15,MOD(A134,2)=0),1,0),IF(MOD(A134,2)=0,IF(DAY(BDAY)&gt;=15,DAY(BDAY)-15,DAY(BDAY)+15),DAY(BDAY))),DATE(YEAR(BDAY),MONTH(BDAY)+(A134-1),DAY(BDAY))))</f>
        <v/>
      </c>
      <c r="C134" s="4" t="str">
        <f>IF(A134&lt;&gt;"",IF($C$12="Quincenal",$G$9/2,$G$9),"")</f>
        <v/>
      </c>
      <c r="D134" s="4"/>
      <c r="E134" s="4" t="str">
        <f t="shared" si="6"/>
        <v/>
      </c>
      <c r="F134" s="4" t="str">
        <f t="shared" si="7"/>
        <v/>
      </c>
      <c r="G134" s="4" t="str">
        <f t="shared" si="8"/>
        <v/>
      </c>
      <c r="H134" s="7" t="str">
        <f t="shared" si="9"/>
        <v/>
      </c>
    </row>
    <row r="135" spans="1:8" x14ac:dyDescent="0.25">
      <c r="A135" s="5" t="str">
        <f t="shared" si="5"/>
        <v/>
      </c>
      <c r="B135" s="6" t="str">
        <f>IF(A135="","",IF($C$12="Quincenal",DATE(YEAR(BDAY),MONTH(BDAY)+(A135-1)/2+IF(AND(DAY(BDAY)&gt;=15,MOD(A135,2)=0),1,0),IF(MOD(A135,2)=0,IF(DAY(BDAY)&gt;=15,DAY(BDAY)-15,DAY(BDAY)+15),DAY(BDAY))),DATE(YEAR(BDAY),MONTH(BDAY)+(A135-1),DAY(BDAY))))</f>
        <v/>
      </c>
      <c r="C135" s="4" t="str">
        <f>IF(A135&lt;&gt;"",IF($C$12="Quincenal",$G$9/2,$G$9),"")</f>
        <v/>
      </c>
      <c r="D135" s="4"/>
      <c r="E135" s="4" t="str">
        <f t="shared" si="6"/>
        <v/>
      </c>
      <c r="F135" s="4" t="str">
        <f t="shared" si="7"/>
        <v/>
      </c>
      <c r="G135" s="4" t="str">
        <f t="shared" si="8"/>
        <v/>
      </c>
      <c r="H135" s="7" t="str">
        <f t="shared" si="9"/>
        <v/>
      </c>
    </row>
    <row r="136" spans="1:8" x14ac:dyDescent="0.25">
      <c r="A136" s="5" t="str">
        <f t="shared" si="5"/>
        <v/>
      </c>
      <c r="B136" s="6" t="str">
        <f>IF(A136="","",IF($C$12="Quincenal",DATE(YEAR(BDAY),MONTH(BDAY)+(A136-1)/2+IF(AND(DAY(BDAY)&gt;=15,MOD(A136,2)=0),1,0),IF(MOD(A136,2)=0,IF(DAY(BDAY)&gt;=15,DAY(BDAY)-15,DAY(BDAY)+15),DAY(BDAY))),DATE(YEAR(BDAY),MONTH(BDAY)+(A136-1),DAY(BDAY))))</f>
        <v/>
      </c>
      <c r="C136" s="4" t="str">
        <f>IF(A136&lt;&gt;"",IF($C$12="Quincenal",$G$9/2,$G$9),"")</f>
        <v/>
      </c>
      <c r="D136" s="4"/>
      <c r="E136" s="4" t="str">
        <f t="shared" si="6"/>
        <v/>
      </c>
      <c r="F136" s="4" t="str">
        <f t="shared" si="7"/>
        <v/>
      </c>
      <c r="G136" s="4" t="str">
        <f t="shared" si="8"/>
        <v/>
      </c>
      <c r="H136" s="7" t="str">
        <f t="shared" si="9"/>
        <v/>
      </c>
    </row>
    <row r="137" spans="1:8" x14ac:dyDescent="0.25">
      <c r="A137" s="5" t="str">
        <f t="shared" si="5"/>
        <v/>
      </c>
      <c r="B137" s="6" t="str">
        <f>IF(A137="","",IF($C$12="Quincenal",DATE(YEAR(BDAY),MONTH(BDAY)+(A137-1)/2+IF(AND(DAY(BDAY)&gt;=15,MOD(A137,2)=0),1,0),IF(MOD(A137,2)=0,IF(DAY(BDAY)&gt;=15,DAY(BDAY)-15,DAY(BDAY)+15),DAY(BDAY))),DATE(YEAR(BDAY),MONTH(BDAY)+(A137-1),DAY(BDAY))))</f>
        <v/>
      </c>
      <c r="C137" s="4" t="str">
        <f>IF(A137&lt;&gt;"",IF($C$12="Quincenal",$G$9/2,$G$9),"")</f>
        <v/>
      </c>
      <c r="D137" s="4"/>
      <c r="E137" s="4" t="str">
        <f t="shared" si="6"/>
        <v/>
      </c>
      <c r="F137" s="4" t="str">
        <f t="shared" si="7"/>
        <v/>
      </c>
      <c r="G137" s="4" t="str">
        <f t="shared" si="8"/>
        <v/>
      </c>
      <c r="H137" s="7" t="str">
        <f t="shared" si="9"/>
        <v/>
      </c>
    </row>
    <row r="138" spans="1:8" x14ac:dyDescent="0.25">
      <c r="A138" s="5" t="str">
        <f t="shared" si="5"/>
        <v/>
      </c>
      <c r="B138" s="6" t="str">
        <f>IF(A138="","",IF($C$12="Quincenal",DATE(YEAR(BDAY),MONTH(BDAY)+(A138-1)/2+IF(AND(DAY(BDAY)&gt;=15,MOD(A138,2)=0),1,0),IF(MOD(A138,2)=0,IF(DAY(BDAY)&gt;=15,DAY(BDAY)-15,DAY(BDAY)+15),DAY(BDAY))),DATE(YEAR(BDAY),MONTH(BDAY)+(A138-1),DAY(BDAY))))</f>
        <v/>
      </c>
      <c r="C138" s="4" t="str">
        <f>IF(A138&lt;&gt;"",IF($C$12="Quincenal",$G$9/2,$G$9),"")</f>
        <v/>
      </c>
      <c r="D138" s="4"/>
      <c r="E138" s="4" t="str">
        <f t="shared" si="6"/>
        <v/>
      </c>
      <c r="F138" s="4" t="str">
        <f t="shared" si="7"/>
        <v/>
      </c>
      <c r="G138" s="4" t="str">
        <f t="shared" si="8"/>
        <v/>
      </c>
      <c r="H138" s="7" t="str">
        <f t="shared" si="9"/>
        <v/>
      </c>
    </row>
    <row r="139" spans="1:8" x14ac:dyDescent="0.25">
      <c r="A139" s="5" t="str">
        <f t="shared" si="5"/>
        <v/>
      </c>
      <c r="B139" s="6" t="str">
        <f>IF(A139="","",IF($C$12="Quincenal",DATE(YEAR(BDAY),MONTH(BDAY)+(A139-1)/2+IF(AND(DAY(BDAY)&gt;=15,MOD(A139,2)=0),1,0),IF(MOD(A139,2)=0,IF(DAY(BDAY)&gt;=15,DAY(BDAY)-15,DAY(BDAY)+15),DAY(BDAY))),DATE(YEAR(BDAY),MONTH(BDAY)+(A139-1),DAY(BDAY))))</f>
        <v/>
      </c>
      <c r="C139" s="4" t="str">
        <f>IF(A139&lt;&gt;"",IF($C$12="Quincenal",$G$9/2,$G$9),"")</f>
        <v/>
      </c>
      <c r="D139" s="4"/>
      <c r="E139" s="4" t="str">
        <f t="shared" si="6"/>
        <v/>
      </c>
      <c r="F139" s="4" t="str">
        <f t="shared" si="7"/>
        <v/>
      </c>
      <c r="G139" s="4" t="str">
        <f t="shared" si="8"/>
        <v/>
      </c>
      <c r="H139" s="7" t="str">
        <f t="shared" si="9"/>
        <v/>
      </c>
    </row>
    <row r="140" spans="1:8" x14ac:dyDescent="0.25">
      <c r="A140" s="5" t="str">
        <f t="shared" si="5"/>
        <v/>
      </c>
      <c r="B140" s="6" t="str">
        <f>IF(A140="","",IF($C$12="Quincenal",DATE(YEAR(BDAY),MONTH(BDAY)+(A140-1)/2+IF(AND(DAY(BDAY)&gt;=15,MOD(A140,2)=0),1,0),IF(MOD(A140,2)=0,IF(DAY(BDAY)&gt;=15,DAY(BDAY)-15,DAY(BDAY)+15),DAY(BDAY))),DATE(YEAR(BDAY),MONTH(BDAY)+(A140-1),DAY(BDAY))))</f>
        <v/>
      </c>
      <c r="C140" s="4" t="str">
        <f>IF(A140&lt;&gt;"",IF($C$12="Quincenal",$G$9/2,$G$9),"")</f>
        <v/>
      </c>
      <c r="D140" s="4"/>
      <c r="E140" s="4" t="str">
        <f t="shared" si="6"/>
        <v/>
      </c>
      <c r="F140" s="4" t="str">
        <f t="shared" si="7"/>
        <v/>
      </c>
      <c r="G140" s="4" t="str">
        <f t="shared" si="8"/>
        <v/>
      </c>
      <c r="H140" s="7" t="str">
        <f t="shared" si="9"/>
        <v/>
      </c>
    </row>
    <row r="141" spans="1:8" x14ac:dyDescent="0.25">
      <c r="A141" s="5" t="str">
        <f t="shared" si="5"/>
        <v/>
      </c>
      <c r="B141" s="6" t="str">
        <f>IF(A141="","",IF($C$12="Quincenal",DATE(YEAR(BDAY),MONTH(BDAY)+(A141-1)/2+IF(AND(DAY(BDAY)&gt;=15,MOD(A141,2)=0),1,0),IF(MOD(A141,2)=0,IF(DAY(BDAY)&gt;=15,DAY(BDAY)-15,DAY(BDAY)+15),DAY(BDAY))),DATE(YEAR(BDAY),MONTH(BDAY)+(A141-1),DAY(BDAY))))</f>
        <v/>
      </c>
      <c r="C141" s="4" t="str">
        <f>IF(A141&lt;&gt;"",IF($C$12="Quincenal",$G$9/2,$G$9),"")</f>
        <v/>
      </c>
      <c r="D141" s="4"/>
      <c r="E141" s="4" t="str">
        <f t="shared" si="6"/>
        <v/>
      </c>
      <c r="F141" s="4" t="str">
        <f t="shared" si="7"/>
        <v/>
      </c>
      <c r="G141" s="4" t="str">
        <f t="shared" si="8"/>
        <v/>
      </c>
      <c r="H141" s="7" t="str">
        <f t="shared" si="9"/>
        <v/>
      </c>
    </row>
    <row r="142" spans="1:8" x14ac:dyDescent="0.25">
      <c r="A142" s="5" t="str">
        <f t="shared" si="5"/>
        <v/>
      </c>
      <c r="B142" s="6" t="str">
        <f>IF(A142="","",IF($C$12="Quincenal",DATE(YEAR(BDAY),MONTH(BDAY)+(A142-1)/2+IF(AND(DAY(BDAY)&gt;=15,MOD(A142,2)=0),1,0),IF(MOD(A142,2)=0,IF(DAY(BDAY)&gt;=15,DAY(BDAY)-15,DAY(BDAY)+15),DAY(BDAY))),DATE(YEAR(BDAY),MONTH(BDAY)+(A142-1),DAY(BDAY))))</f>
        <v/>
      </c>
      <c r="C142" s="4" t="str">
        <f>IF(A142&lt;&gt;"",IF($C$12="Quincenal",$G$9/2,$G$9),"")</f>
        <v/>
      </c>
      <c r="D142" s="4"/>
      <c r="E142" s="4" t="str">
        <f t="shared" si="6"/>
        <v/>
      </c>
      <c r="F142" s="4" t="str">
        <f t="shared" si="7"/>
        <v/>
      </c>
      <c r="G142" s="4" t="str">
        <f t="shared" si="8"/>
        <v/>
      </c>
      <c r="H142" s="7" t="str">
        <f t="shared" si="9"/>
        <v/>
      </c>
    </row>
    <row r="143" spans="1:8" x14ac:dyDescent="0.25">
      <c r="A143" s="5" t="str">
        <f t="shared" si="5"/>
        <v/>
      </c>
      <c r="B143" s="6" t="str">
        <f>IF(A143="","",IF($C$12="Quincenal",DATE(YEAR(BDAY),MONTH(BDAY)+(A143-1)/2+IF(AND(DAY(BDAY)&gt;=15,MOD(A143,2)=0),1,0),IF(MOD(A143,2)=0,IF(DAY(BDAY)&gt;=15,DAY(BDAY)-15,DAY(BDAY)+15),DAY(BDAY))),DATE(YEAR(BDAY),MONTH(BDAY)+(A143-1),DAY(BDAY))))</f>
        <v/>
      </c>
      <c r="C143" s="4" t="str">
        <f>IF(A143&lt;&gt;"",IF($C$12="Quincenal",$G$9/2,$G$9),"")</f>
        <v/>
      </c>
      <c r="D143" s="4"/>
      <c r="E143" s="4" t="str">
        <f t="shared" si="6"/>
        <v/>
      </c>
      <c r="F143" s="4" t="str">
        <f t="shared" si="7"/>
        <v/>
      </c>
      <c r="G143" s="4" t="str">
        <f t="shared" si="8"/>
        <v/>
      </c>
      <c r="H143" s="7" t="str">
        <f t="shared" si="9"/>
        <v/>
      </c>
    </row>
    <row r="144" spans="1:8" x14ac:dyDescent="0.25">
      <c r="A144" s="5" t="str">
        <f t="shared" si="5"/>
        <v/>
      </c>
      <c r="B144" s="6" t="str">
        <f>IF(A144="","",IF($C$12="Quincenal",DATE(YEAR(BDAY),MONTH(BDAY)+(A144-1)/2+IF(AND(DAY(BDAY)&gt;=15,MOD(A144,2)=0),1,0),IF(MOD(A144,2)=0,IF(DAY(BDAY)&gt;=15,DAY(BDAY)-15,DAY(BDAY)+15),DAY(BDAY))),DATE(YEAR(BDAY),MONTH(BDAY)+(A144-1),DAY(BDAY))))</f>
        <v/>
      </c>
      <c r="C144" s="4" t="str">
        <f>IF(A144&lt;&gt;"",IF($C$12="Quincenal",$G$9/2,$G$9),"")</f>
        <v/>
      </c>
      <c r="D144" s="4"/>
      <c r="E144" s="4" t="str">
        <f t="shared" si="6"/>
        <v/>
      </c>
      <c r="F144" s="4" t="str">
        <f t="shared" si="7"/>
        <v/>
      </c>
      <c r="G144" s="4" t="str">
        <f t="shared" si="8"/>
        <v/>
      </c>
      <c r="H144" s="7" t="str">
        <f t="shared" si="9"/>
        <v/>
      </c>
    </row>
    <row r="145" spans="1:8" x14ac:dyDescent="0.25">
      <c r="A145" s="5" t="str">
        <f t="shared" si="5"/>
        <v/>
      </c>
      <c r="B145" s="6" t="str">
        <f>IF(A145="","",IF($C$12="Quincenal",DATE(YEAR(BDAY),MONTH(BDAY)+(A145-1)/2+IF(AND(DAY(BDAY)&gt;=15,MOD(A145,2)=0),1,0),IF(MOD(A145,2)=0,IF(DAY(BDAY)&gt;=15,DAY(BDAY)-15,DAY(BDAY)+15),DAY(BDAY))),DATE(YEAR(BDAY),MONTH(BDAY)+(A145-1),DAY(BDAY))))</f>
        <v/>
      </c>
      <c r="C145" s="4" t="str">
        <f>IF(A145&lt;&gt;"",IF($C$12="Quincenal",$G$9/2,$G$9),"")</f>
        <v/>
      </c>
      <c r="D145" s="4"/>
      <c r="E145" s="4" t="str">
        <f t="shared" si="6"/>
        <v/>
      </c>
      <c r="F145" s="4" t="str">
        <f t="shared" si="7"/>
        <v/>
      </c>
      <c r="G145" s="4" t="str">
        <f t="shared" si="8"/>
        <v/>
      </c>
      <c r="H145" s="7" t="str">
        <f t="shared" si="9"/>
        <v/>
      </c>
    </row>
    <row r="146" spans="1:8" x14ac:dyDescent="0.25">
      <c r="A146" s="5" t="str">
        <f t="shared" si="5"/>
        <v/>
      </c>
      <c r="B146" s="6" t="str">
        <f>IF(A146="","",IF($C$12="Quincenal",DATE(YEAR(BDAY),MONTH(BDAY)+(A146-1)/2+IF(AND(DAY(BDAY)&gt;=15,MOD(A146,2)=0),1,0),IF(MOD(A146,2)=0,IF(DAY(BDAY)&gt;=15,DAY(BDAY)-15,DAY(BDAY)+15),DAY(BDAY))),DATE(YEAR(BDAY),MONTH(BDAY)+(A146-1),DAY(BDAY))))</f>
        <v/>
      </c>
      <c r="C146" s="4" t="str">
        <f>IF(A146&lt;&gt;"",IF($C$12="Quincenal",$G$9/2,$G$9),"")</f>
        <v/>
      </c>
      <c r="D146" s="4"/>
      <c r="E146" s="4" t="str">
        <f t="shared" si="6"/>
        <v/>
      </c>
      <c r="F146" s="4" t="str">
        <f t="shared" si="7"/>
        <v/>
      </c>
      <c r="G146" s="4" t="str">
        <f t="shared" si="8"/>
        <v/>
      </c>
      <c r="H146" s="7" t="str">
        <f t="shared" si="9"/>
        <v/>
      </c>
    </row>
    <row r="147" spans="1:8" x14ac:dyDescent="0.25">
      <c r="A147" s="5" t="str">
        <f t="shared" si="5"/>
        <v/>
      </c>
      <c r="B147" s="6" t="str">
        <f>IF(A147="","",IF($C$12="Quincenal",DATE(YEAR(BDAY),MONTH(BDAY)+(A147-1)/2+IF(AND(DAY(BDAY)&gt;=15,MOD(A147,2)=0),1,0),IF(MOD(A147,2)=0,IF(DAY(BDAY)&gt;=15,DAY(BDAY)-15,DAY(BDAY)+15),DAY(BDAY))),DATE(YEAR(BDAY),MONTH(BDAY)+(A147-1),DAY(BDAY))))</f>
        <v/>
      </c>
      <c r="C147" s="4" t="str">
        <f>IF(A147&lt;&gt;"",IF($C$12="Quincenal",$G$9/2,$G$9),"")</f>
        <v/>
      </c>
      <c r="D147" s="4"/>
      <c r="E147" s="4" t="str">
        <f t="shared" si="6"/>
        <v/>
      </c>
      <c r="F147" s="4" t="str">
        <f t="shared" si="7"/>
        <v/>
      </c>
      <c r="G147" s="4" t="str">
        <f t="shared" si="8"/>
        <v/>
      </c>
      <c r="H147" s="7" t="str">
        <f t="shared" si="9"/>
        <v/>
      </c>
    </row>
    <row r="148" spans="1:8" x14ac:dyDescent="0.25">
      <c r="A148" s="5" t="str">
        <f t="shared" ref="A148:A152" si="10">IF(H147&gt;=0,IF(A147&gt;=$C$13,"",A147+1),"")</f>
        <v/>
      </c>
      <c r="B148" s="6" t="str">
        <f>IF(A148="","",IF($C$12="Quincenal",DATE(YEAR(BDAY),MONTH(BDAY)+(A148-1)/2+IF(AND(DAY(BDAY)&gt;=15,MOD(A148,2)=0),1,0),IF(MOD(A148,2)=0,IF(DAY(BDAY)&gt;=15,DAY(BDAY)-15,DAY(BDAY)+15),DAY(BDAY))),DATE(YEAR(BDAY),MONTH(BDAY)+(A148-1),DAY(BDAY))))</f>
        <v/>
      </c>
      <c r="C148" s="4" t="str">
        <f>IF(A148&lt;&gt;"",IF($C$12="Quincenal",$G$9/2,$G$9),"")</f>
        <v/>
      </c>
      <c r="D148" s="4"/>
      <c r="E148" s="4" t="str">
        <f t="shared" ref="E148:E152" si="11">IF(A148="","",IF(DAY(B148)&lt;=15,H147*($C$8/12),""))</f>
        <v/>
      </c>
      <c r="F148" s="4" t="str">
        <f t="shared" ref="F148:F152" si="12">IF(A148="","",IF(DAY(B148)&lt;=15,$G$8,""))</f>
        <v/>
      </c>
      <c r="G148" s="4" t="str">
        <f t="shared" ref="G148:G152" si="13">IF(A148="","",IF(DAY(B148)&lt;=15,C148+D148-E148-F148,C148+D148))</f>
        <v/>
      </c>
      <c r="H148" s="7" t="str">
        <f t="shared" ref="H148:H152" si="14">IF(A148="","",H147-G148)</f>
        <v/>
      </c>
    </row>
    <row r="149" spans="1:8" x14ac:dyDescent="0.25">
      <c r="A149" s="5" t="str">
        <f t="shared" si="10"/>
        <v/>
      </c>
      <c r="B149" s="6" t="str">
        <f>IF(A149="","",IF($C$12="Quincenal",DATE(YEAR(BDAY),MONTH(BDAY)+(A149-1)/2+IF(AND(DAY(BDAY)&gt;=15,MOD(A149,2)=0),1,0),IF(MOD(A149,2)=0,IF(DAY(BDAY)&gt;=15,DAY(BDAY)-15,DAY(BDAY)+15),DAY(BDAY))),DATE(YEAR(BDAY),MONTH(BDAY)+(A149-1),DAY(BDAY))))</f>
        <v/>
      </c>
      <c r="C149" s="4" t="str">
        <f>IF(A149&lt;&gt;"",IF($C$12="Quincenal",$G$9/2,$G$9),"")</f>
        <v/>
      </c>
      <c r="D149" s="4"/>
      <c r="E149" s="4" t="str">
        <f t="shared" si="11"/>
        <v/>
      </c>
      <c r="F149" s="4" t="str">
        <f t="shared" si="12"/>
        <v/>
      </c>
      <c r="G149" s="4" t="str">
        <f t="shared" si="13"/>
        <v/>
      </c>
      <c r="H149" s="7" t="str">
        <f t="shared" si="14"/>
        <v/>
      </c>
    </row>
    <row r="150" spans="1:8" x14ac:dyDescent="0.25">
      <c r="A150" s="5" t="str">
        <f t="shared" si="10"/>
        <v/>
      </c>
      <c r="B150" s="6" t="str">
        <f>IF(A150="","",IF($C$12="Quincenal",DATE(YEAR(BDAY),MONTH(BDAY)+(A150-1)/2+IF(AND(DAY(BDAY)&gt;=15,MOD(A150,2)=0),1,0),IF(MOD(A150,2)=0,IF(DAY(BDAY)&gt;=15,DAY(BDAY)-15,DAY(BDAY)+15),DAY(BDAY))),DATE(YEAR(BDAY),MONTH(BDAY)+(A150-1),DAY(BDAY))))</f>
        <v/>
      </c>
      <c r="C150" s="4" t="str">
        <f>IF(A150&lt;&gt;"",IF($C$12="Quincenal",$G$9/2,$G$9),"")</f>
        <v/>
      </c>
      <c r="D150" s="4"/>
      <c r="E150" s="4" t="str">
        <f t="shared" si="11"/>
        <v/>
      </c>
      <c r="F150" s="4" t="str">
        <f t="shared" si="12"/>
        <v/>
      </c>
      <c r="G150" s="4" t="str">
        <f t="shared" si="13"/>
        <v/>
      </c>
      <c r="H150" s="7" t="str">
        <f t="shared" si="14"/>
        <v/>
      </c>
    </row>
    <row r="151" spans="1:8" x14ac:dyDescent="0.25">
      <c r="A151" s="5" t="str">
        <f t="shared" si="10"/>
        <v/>
      </c>
      <c r="B151" s="6" t="str">
        <f>IF(A151="","",IF($C$12="Quincenal",DATE(YEAR(BDAY),MONTH(BDAY)+(A151-1)/2+IF(AND(DAY(BDAY)&gt;=15,MOD(A151,2)=0),1,0),IF(MOD(A151,2)=0,IF(DAY(BDAY)&gt;=15,DAY(BDAY)-15,DAY(BDAY)+15),DAY(BDAY))),DATE(YEAR(BDAY),MONTH(BDAY)+(A151-1),DAY(BDAY))))</f>
        <v/>
      </c>
      <c r="C151" s="4" t="str">
        <f>IF(A151&lt;&gt;"",IF($C$12="Quincenal",$G$9/2,$G$9),"")</f>
        <v/>
      </c>
      <c r="D151" s="4"/>
      <c r="E151" s="4" t="str">
        <f t="shared" si="11"/>
        <v/>
      </c>
      <c r="F151" s="4" t="str">
        <f t="shared" si="12"/>
        <v/>
      </c>
      <c r="G151" s="4" t="str">
        <f t="shared" si="13"/>
        <v/>
      </c>
      <c r="H151" s="7" t="str">
        <f t="shared" si="14"/>
        <v/>
      </c>
    </row>
    <row r="152" spans="1:8" x14ac:dyDescent="0.25">
      <c r="A152" s="5" t="str">
        <f t="shared" si="10"/>
        <v/>
      </c>
      <c r="B152" s="6" t="str">
        <f>IF(A152="","",IF($C$12="Quincenal",DATE(YEAR(BDAY),MONTH(BDAY)+(A152-1)/2+IF(AND(DAY(BDAY)&gt;=15,MOD(A152,2)=0),1,0),IF(MOD(A152,2)=0,IF(DAY(BDAY)&gt;=15,DAY(BDAY)-15,DAY(BDAY)+15),DAY(BDAY))),DATE(YEAR(BDAY),MONTH(BDAY)+(A152-1),DAY(BDAY))))</f>
        <v/>
      </c>
      <c r="C152" s="4" t="str">
        <f>IF(A152&lt;&gt;"",IF($C$12="Quincenal",$G$9/2,$G$9),"")</f>
        <v/>
      </c>
      <c r="D152" s="4"/>
      <c r="E152" s="4" t="str">
        <f t="shared" si="11"/>
        <v/>
      </c>
      <c r="F152" s="4" t="str">
        <f t="shared" si="12"/>
        <v/>
      </c>
      <c r="G152" s="4" t="str">
        <f t="shared" si="13"/>
        <v/>
      </c>
      <c r="H152" s="7" t="str">
        <f t="shared" si="14"/>
        <v/>
      </c>
    </row>
  </sheetData>
  <mergeCells count="4">
    <mergeCell ref="B2:H2"/>
    <mergeCell ref="B5:C5"/>
    <mergeCell ref="F5:G5"/>
    <mergeCell ref="F11:G11"/>
  </mergeCells>
  <conditionalFormatting sqref="A19:H152">
    <cfRule type="expression" dxfId="0" priority="1">
      <formula>MOD($A19,$C$15)=0</formula>
    </cfRule>
  </conditionalFormatting>
  <dataValidations count="2">
    <dataValidation type="list" allowBlank="1" showInputMessage="1" showErrorMessage="1" sqref="C12" xr:uid="{F22C12BD-59A3-464A-8F08-6480346A01BD}">
      <formula1>"Mensual,Quincenal"</formula1>
    </dataValidation>
    <dataValidation type="list" allowBlank="1" showInputMessage="1" showErrorMessage="1" sqref="C9" xr:uid="{468CE9FB-9376-4544-8AE5-8A4F4DF7D898}">
      <formula1>"Sí,No"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BDAY</vt:lpstr>
      <vt:lpstr>number_plazos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Cortes</dc:creator>
  <cp:lastModifiedBy>Raul Cortes</cp:lastModifiedBy>
  <dcterms:created xsi:type="dcterms:W3CDTF">2026-04-10T19:51:41Z</dcterms:created>
  <dcterms:modified xsi:type="dcterms:W3CDTF">2026-04-12T07:56:09Z</dcterms:modified>
</cp:coreProperties>
</file>